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Questa_cartella_di_lavoro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fastweb365-my.sharepoint.com/personal/luca_mancini_fastweb_it/Documents/Documents/MULTIBRAND/KIM/Avanzamento/"/>
    </mc:Choice>
  </mc:AlternateContent>
  <xr:revisionPtr revIDLastSave="0" documentId="8_{F7D0A9FC-0656-46F6-A592-91C598E90AB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IVOT" sheetId="17" r:id="rId1"/>
    <sheet name="INCASSI" sheetId="8" r:id="rId2"/>
    <sheet name="COMSY" sheetId="3" r:id="rId3"/>
    <sheet name="PIANI" sheetId="4" r:id="rId4"/>
    <sheet name="INSERITO KIM" sheetId="16" r:id="rId5"/>
  </sheets>
  <definedNames>
    <definedName name="_xlnm._FilterDatabase" localSheetId="2" hidden="1">COMSY!$D$5:$K$503</definedName>
    <definedName name="_xlnm._FilterDatabase" localSheetId="3" hidden="1">PIANI!$A$1:$D$24</definedName>
    <definedName name="DB">#REF!</definedName>
    <definedName name="ExternalData_1" localSheetId="4" hidden="1">'INSERITO KIM'!$A$1:$M$246</definedName>
    <definedName name="KIM">'INSERITO KIM'!$1:$1048576</definedName>
    <definedName name="RES">COMSY!$E$5:$E$58</definedName>
    <definedName name="SHP">COMSY!#REF!</definedName>
  </definedNames>
  <calcPr calcId="191028"/>
  <pivotCaches>
    <pivotCache cacheId="838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6" l="1"/>
  <c r="N3" i="16"/>
  <c r="N4" i="16"/>
  <c r="N5" i="16"/>
  <c r="N6" i="16"/>
  <c r="N7" i="16"/>
  <c r="N8" i="16"/>
  <c r="N9" i="16"/>
  <c r="N10" i="16"/>
  <c r="N11" i="16"/>
  <c r="N12" i="16"/>
  <c r="N13" i="16"/>
  <c r="N14" i="16"/>
  <c r="N15" i="16"/>
  <c r="N16" i="16"/>
  <c r="N17" i="16"/>
  <c r="N18" i="16"/>
  <c r="N19" i="16"/>
  <c r="N20" i="16"/>
  <c r="N21" i="16"/>
  <c r="N22" i="16"/>
  <c r="N23" i="16"/>
  <c r="N24" i="16"/>
  <c r="N25" i="16"/>
  <c r="N26" i="16"/>
  <c r="N27" i="16"/>
  <c r="N28" i="16"/>
  <c r="N29" i="16"/>
  <c r="N30" i="16"/>
  <c r="N31" i="16"/>
  <c r="N32" i="16"/>
  <c r="N33" i="16"/>
  <c r="N34" i="16"/>
  <c r="N35" i="16"/>
  <c r="N36" i="16"/>
  <c r="N37" i="16"/>
  <c r="N38" i="16"/>
  <c r="N39" i="16"/>
  <c r="N40" i="16"/>
  <c r="N41" i="16"/>
  <c r="N42" i="16"/>
  <c r="N43" i="16"/>
  <c r="N44" i="16"/>
  <c r="N45" i="16"/>
  <c r="N46" i="16"/>
  <c r="N47" i="16"/>
  <c r="N48" i="16"/>
  <c r="N49" i="16"/>
  <c r="N50" i="16"/>
  <c r="N51" i="16"/>
  <c r="N52" i="16"/>
  <c r="N53" i="16"/>
  <c r="N54" i="16"/>
  <c r="N55" i="16"/>
  <c r="N56" i="16"/>
  <c r="N57" i="16"/>
  <c r="N58" i="16"/>
  <c r="N59" i="16"/>
  <c r="N60" i="16"/>
  <c r="N61" i="16"/>
  <c r="N62" i="16"/>
  <c r="N63" i="16"/>
  <c r="N64" i="16"/>
  <c r="N65" i="16"/>
  <c r="N66" i="16"/>
  <c r="N67" i="16"/>
  <c r="N68" i="16"/>
  <c r="N69" i="16"/>
  <c r="N70" i="16"/>
  <c r="N71" i="16"/>
  <c r="N72" i="16"/>
  <c r="N73" i="16"/>
  <c r="N74" i="16"/>
  <c r="N75" i="16"/>
  <c r="N76" i="16"/>
  <c r="N77" i="16"/>
  <c r="N78" i="16"/>
  <c r="N79" i="16"/>
  <c r="N80" i="16"/>
  <c r="N81" i="16"/>
  <c r="N82" i="16"/>
  <c r="N83" i="16"/>
  <c r="N84" i="16"/>
  <c r="N85" i="16"/>
  <c r="N86" i="16"/>
  <c r="N87" i="16"/>
  <c r="N88" i="16"/>
  <c r="N89" i="16"/>
  <c r="N90" i="16"/>
  <c r="N91" i="16"/>
  <c r="N92" i="16"/>
  <c r="N93" i="16"/>
  <c r="N94" i="16"/>
  <c r="N95" i="16"/>
  <c r="N96" i="16"/>
  <c r="N97" i="16"/>
  <c r="N98" i="16"/>
  <c r="N99" i="16"/>
  <c r="N100" i="16"/>
  <c r="N101" i="16"/>
  <c r="N102" i="16"/>
  <c r="N103" i="16"/>
  <c r="N104" i="16"/>
  <c r="N105" i="16"/>
  <c r="N106" i="16"/>
  <c r="N107" i="16"/>
  <c r="N108" i="16"/>
  <c r="N109" i="16"/>
  <c r="N110" i="16"/>
  <c r="N111" i="16"/>
  <c r="N112" i="16"/>
  <c r="N113" i="16"/>
  <c r="N114" i="16"/>
  <c r="N115" i="16"/>
  <c r="N116" i="16"/>
  <c r="N117" i="16"/>
  <c r="N118" i="16"/>
  <c r="N119" i="16"/>
  <c r="N120" i="16"/>
  <c r="N121" i="16"/>
  <c r="N122" i="16"/>
  <c r="N123" i="16"/>
  <c r="N124" i="16"/>
  <c r="N125" i="16"/>
  <c r="N126" i="16"/>
  <c r="N127" i="16"/>
  <c r="N128" i="16"/>
  <c r="N129" i="16"/>
  <c r="N130" i="16"/>
  <c r="N131" i="16"/>
  <c r="N132" i="16"/>
  <c r="N133" i="16"/>
  <c r="N134" i="16"/>
  <c r="N135" i="16"/>
  <c r="N136" i="16"/>
  <c r="N137" i="16"/>
  <c r="N138" i="16"/>
  <c r="N139" i="16"/>
  <c r="N140" i="16"/>
  <c r="N141" i="16"/>
  <c r="N142" i="16"/>
  <c r="N143" i="16"/>
  <c r="N144" i="16"/>
  <c r="N145" i="16"/>
  <c r="N146" i="16"/>
  <c r="N147" i="16"/>
  <c r="N148" i="16"/>
  <c r="N149" i="16"/>
  <c r="N150" i="16"/>
  <c r="N151" i="16"/>
  <c r="N152" i="16"/>
  <c r="N153" i="16"/>
  <c r="N154" i="16"/>
  <c r="N155" i="16"/>
  <c r="N156" i="16"/>
  <c r="N157" i="16"/>
  <c r="N158" i="16"/>
  <c r="N159" i="16"/>
  <c r="N160" i="16"/>
  <c r="N161" i="16"/>
  <c r="N162" i="16"/>
  <c r="N163" i="16"/>
  <c r="N164" i="16"/>
  <c r="N165" i="16"/>
  <c r="N166" i="16"/>
  <c r="N167" i="16"/>
  <c r="N168" i="16"/>
  <c r="N169" i="16"/>
  <c r="N170" i="16"/>
  <c r="N171" i="16"/>
  <c r="N172" i="16"/>
  <c r="N173" i="16"/>
  <c r="N174" i="16"/>
  <c r="N175" i="16"/>
  <c r="N176" i="16"/>
  <c r="N177" i="16"/>
  <c r="N178" i="16"/>
  <c r="N179" i="16"/>
  <c r="N180" i="16"/>
  <c r="N181" i="16"/>
  <c r="N182" i="16"/>
  <c r="N183" i="16"/>
  <c r="N184" i="16"/>
  <c r="N185" i="16"/>
  <c r="N186" i="16"/>
  <c r="N187" i="16"/>
  <c r="N188" i="16"/>
  <c r="N189" i="16"/>
  <c r="N190" i="16"/>
  <c r="N191" i="16"/>
  <c r="N192" i="16"/>
  <c r="N193" i="16"/>
  <c r="N194" i="16"/>
  <c r="N195" i="16"/>
  <c r="N196" i="16"/>
  <c r="N197" i="16"/>
  <c r="N198" i="16"/>
  <c r="N199" i="16"/>
  <c r="N200" i="16"/>
  <c r="N201" i="16"/>
  <c r="N202" i="16"/>
  <c r="N203" i="16"/>
  <c r="N204" i="16"/>
  <c r="N205" i="16"/>
  <c r="N206" i="16"/>
  <c r="N207" i="16"/>
  <c r="N208" i="16"/>
  <c r="N209" i="16"/>
  <c r="N210" i="16"/>
  <c r="N211" i="16"/>
  <c r="N212" i="16"/>
  <c r="N213" i="16"/>
  <c r="N214" i="16"/>
  <c r="N215" i="16"/>
  <c r="N216" i="16"/>
  <c r="N217" i="16"/>
  <c r="N218" i="16"/>
  <c r="N219" i="16"/>
  <c r="N220" i="16"/>
  <c r="N221" i="16"/>
  <c r="N222" i="16"/>
  <c r="N223" i="16"/>
  <c r="N224" i="16"/>
  <c r="N225" i="16"/>
  <c r="N226" i="16"/>
  <c r="N227" i="16"/>
  <c r="N228" i="16"/>
  <c r="N229" i="16"/>
  <c r="N230" i="16"/>
  <c r="N231" i="16"/>
  <c r="N232" i="16"/>
  <c r="N233" i="16"/>
  <c r="N234" i="16"/>
  <c r="N235" i="16"/>
  <c r="N236" i="16"/>
  <c r="N237" i="16"/>
  <c r="N238" i="16"/>
  <c r="N239" i="16"/>
  <c r="N240" i="16"/>
  <c r="N241" i="16"/>
  <c r="N242" i="16"/>
  <c r="N243" i="16"/>
  <c r="N244" i="16"/>
  <c r="N245" i="16"/>
  <c r="N246" i="16"/>
  <c r="O2" i="16"/>
  <c r="O3" i="16"/>
  <c r="O4" i="16"/>
  <c r="O5" i="16"/>
  <c r="O6" i="16"/>
  <c r="O7" i="16"/>
  <c r="O8" i="16"/>
  <c r="O9" i="16"/>
  <c r="O10" i="16"/>
  <c r="O11" i="16"/>
  <c r="O12" i="16"/>
  <c r="O13" i="16"/>
  <c r="O14" i="16"/>
  <c r="O15" i="16"/>
  <c r="O16" i="16"/>
  <c r="O17" i="16"/>
  <c r="O18" i="16"/>
  <c r="O19" i="16"/>
  <c r="O20" i="16"/>
  <c r="O21" i="16"/>
  <c r="O22" i="16"/>
  <c r="O23" i="16"/>
  <c r="O24" i="16"/>
  <c r="O25" i="16"/>
  <c r="O26" i="16"/>
  <c r="O27" i="16"/>
  <c r="O28" i="16"/>
  <c r="O29" i="16"/>
  <c r="O30" i="16"/>
  <c r="O31" i="16"/>
  <c r="O32" i="16"/>
  <c r="O33" i="16"/>
  <c r="O34" i="16"/>
  <c r="O35" i="16"/>
  <c r="O36" i="16"/>
  <c r="O37" i="16"/>
  <c r="O38" i="16"/>
  <c r="O39" i="16"/>
  <c r="O40" i="16"/>
  <c r="O41" i="16"/>
  <c r="O42" i="16"/>
  <c r="O43" i="16"/>
  <c r="O44" i="16"/>
  <c r="O45" i="16"/>
  <c r="O46" i="16"/>
  <c r="O47" i="16"/>
  <c r="O48" i="16"/>
  <c r="O49" i="16"/>
  <c r="O50" i="16"/>
  <c r="O51" i="16"/>
  <c r="O52" i="16"/>
  <c r="O53" i="16"/>
  <c r="O54" i="16"/>
  <c r="O55" i="16"/>
  <c r="O56" i="16"/>
  <c r="O57" i="16"/>
  <c r="O58" i="16"/>
  <c r="O59" i="16"/>
  <c r="O60" i="16"/>
  <c r="O61" i="16"/>
  <c r="O62" i="16"/>
  <c r="O63" i="16"/>
  <c r="O64" i="16"/>
  <c r="O65" i="16"/>
  <c r="O66" i="16"/>
  <c r="O67" i="16"/>
  <c r="O68" i="16"/>
  <c r="O69" i="16"/>
  <c r="O70" i="16"/>
  <c r="O71" i="16"/>
  <c r="O72" i="16"/>
  <c r="O73" i="16"/>
  <c r="O74" i="16"/>
  <c r="O75" i="16"/>
  <c r="O76" i="16"/>
  <c r="O77" i="16"/>
  <c r="O78" i="16"/>
  <c r="O79" i="16"/>
  <c r="O80" i="16"/>
  <c r="O81" i="16"/>
  <c r="O82" i="16"/>
  <c r="O83" i="16"/>
  <c r="O84" i="16"/>
  <c r="O85" i="16"/>
  <c r="O86" i="16"/>
  <c r="O87" i="16"/>
  <c r="O88" i="16"/>
  <c r="O89" i="16"/>
  <c r="O90" i="16"/>
  <c r="O91" i="16"/>
  <c r="O92" i="16"/>
  <c r="O93" i="16"/>
  <c r="O94" i="16"/>
  <c r="O95" i="16"/>
  <c r="O96" i="16"/>
  <c r="O97" i="16"/>
  <c r="O98" i="16"/>
  <c r="O99" i="16"/>
  <c r="O100" i="16"/>
  <c r="O101" i="16"/>
  <c r="O102" i="16"/>
  <c r="O103" i="16"/>
  <c r="O104" i="16"/>
  <c r="O105" i="16"/>
  <c r="O106" i="16"/>
  <c r="O107" i="16"/>
  <c r="O108" i="16"/>
  <c r="O109" i="16"/>
  <c r="O110" i="16"/>
  <c r="O111" i="16"/>
  <c r="O112" i="16"/>
  <c r="O113" i="16"/>
  <c r="O114" i="16"/>
  <c r="O115" i="16"/>
  <c r="O116" i="16"/>
  <c r="O117" i="16"/>
  <c r="O118" i="16"/>
  <c r="O119" i="16"/>
  <c r="O120" i="16"/>
  <c r="O121" i="16"/>
  <c r="O122" i="16"/>
  <c r="O123" i="16"/>
  <c r="O124" i="16"/>
  <c r="O125" i="16"/>
  <c r="O126" i="16"/>
  <c r="O127" i="16"/>
  <c r="O128" i="16"/>
  <c r="O129" i="16"/>
  <c r="O130" i="16"/>
  <c r="O131" i="16"/>
  <c r="O132" i="16"/>
  <c r="O133" i="16"/>
  <c r="O134" i="16"/>
  <c r="O135" i="16"/>
  <c r="O136" i="16"/>
  <c r="O137" i="16"/>
  <c r="O138" i="16"/>
  <c r="O139" i="16"/>
  <c r="O140" i="16"/>
  <c r="O141" i="16"/>
  <c r="O142" i="16"/>
  <c r="O143" i="16"/>
  <c r="O144" i="16"/>
  <c r="O145" i="16"/>
  <c r="O146" i="16"/>
  <c r="O147" i="16"/>
  <c r="O148" i="16"/>
  <c r="O149" i="16"/>
  <c r="O150" i="16"/>
  <c r="O151" i="16"/>
  <c r="O152" i="16"/>
  <c r="O153" i="16"/>
  <c r="O154" i="16"/>
  <c r="O155" i="16"/>
  <c r="O156" i="16"/>
  <c r="O157" i="16"/>
  <c r="O158" i="16"/>
  <c r="O159" i="16"/>
  <c r="O160" i="16"/>
  <c r="O161" i="16"/>
  <c r="O162" i="16"/>
  <c r="O163" i="16"/>
  <c r="O164" i="16"/>
  <c r="O165" i="16"/>
  <c r="O166" i="16"/>
  <c r="O167" i="16"/>
  <c r="O168" i="16"/>
  <c r="O169" i="16"/>
  <c r="O170" i="16"/>
  <c r="O171" i="16"/>
  <c r="O172" i="16"/>
  <c r="O173" i="16"/>
  <c r="O174" i="16"/>
  <c r="O175" i="16"/>
  <c r="O176" i="16"/>
  <c r="O177" i="16"/>
  <c r="O178" i="16"/>
  <c r="O179" i="16"/>
  <c r="O180" i="16"/>
  <c r="O181" i="16"/>
  <c r="O182" i="16"/>
  <c r="O183" i="16"/>
  <c r="O184" i="16"/>
  <c r="O185" i="16"/>
  <c r="O186" i="16"/>
  <c r="O187" i="16"/>
  <c r="O188" i="16"/>
  <c r="O189" i="16"/>
  <c r="O190" i="16"/>
  <c r="O191" i="16"/>
  <c r="O192" i="16"/>
  <c r="O193" i="16"/>
  <c r="O194" i="16"/>
  <c r="O195" i="16"/>
  <c r="O196" i="16"/>
  <c r="O197" i="16"/>
  <c r="O198" i="16"/>
  <c r="O199" i="16"/>
  <c r="O200" i="16"/>
  <c r="O201" i="16"/>
  <c r="O202" i="16"/>
  <c r="O203" i="16"/>
  <c r="O204" i="16"/>
  <c r="O205" i="16"/>
  <c r="O206" i="16"/>
  <c r="O207" i="16"/>
  <c r="O208" i="16"/>
  <c r="O209" i="16"/>
  <c r="O210" i="16"/>
  <c r="O211" i="16"/>
  <c r="O212" i="16"/>
  <c r="O213" i="16"/>
  <c r="O214" i="16"/>
  <c r="O215" i="16"/>
  <c r="O216" i="16"/>
  <c r="O217" i="16"/>
  <c r="O218" i="16"/>
  <c r="O219" i="16"/>
  <c r="O220" i="16"/>
  <c r="O221" i="16"/>
  <c r="O222" i="16"/>
  <c r="O223" i="16"/>
  <c r="O224" i="16"/>
  <c r="O225" i="16"/>
  <c r="O226" i="16"/>
  <c r="O227" i="16"/>
  <c r="O228" i="16"/>
  <c r="O229" i="16"/>
  <c r="O230" i="16"/>
  <c r="O231" i="16"/>
  <c r="O232" i="16"/>
  <c r="O233" i="16"/>
  <c r="O234" i="16"/>
  <c r="O235" i="16"/>
  <c r="O236" i="16"/>
  <c r="O237" i="16"/>
  <c r="O238" i="16"/>
  <c r="O239" i="16"/>
  <c r="O240" i="16"/>
  <c r="O241" i="16"/>
  <c r="O242" i="16"/>
  <c r="O243" i="16"/>
  <c r="O244" i="16"/>
  <c r="O245" i="16"/>
  <c r="O246" i="16"/>
  <c r="P2" i="16"/>
  <c r="P3" i="16"/>
  <c r="P4" i="16"/>
  <c r="P5" i="16"/>
  <c r="P6" i="16"/>
  <c r="P7" i="16"/>
  <c r="P8" i="16"/>
  <c r="P9" i="16"/>
  <c r="P10" i="16"/>
  <c r="P11" i="16"/>
  <c r="P12" i="16"/>
  <c r="P13" i="16"/>
  <c r="P14" i="16"/>
  <c r="P15" i="16"/>
  <c r="P16" i="16"/>
  <c r="P17" i="16"/>
  <c r="P18" i="16"/>
  <c r="P19" i="16"/>
  <c r="P20" i="16"/>
  <c r="P21" i="16"/>
  <c r="P22" i="16"/>
  <c r="P23" i="16"/>
  <c r="P24" i="16"/>
  <c r="P25" i="16"/>
  <c r="P26" i="16"/>
  <c r="P27" i="16"/>
  <c r="P28" i="16"/>
  <c r="P29" i="16"/>
  <c r="P30" i="16"/>
  <c r="P31" i="16"/>
  <c r="P32" i="16"/>
  <c r="P33" i="16"/>
  <c r="P34" i="16"/>
  <c r="P35" i="16"/>
  <c r="P36" i="16"/>
  <c r="P37" i="16"/>
  <c r="P38" i="16"/>
  <c r="P39" i="16"/>
  <c r="P40" i="16"/>
  <c r="P41" i="16"/>
  <c r="P42" i="16"/>
  <c r="P43" i="16"/>
  <c r="P44" i="16"/>
  <c r="P45" i="16"/>
  <c r="P46" i="16"/>
  <c r="P47" i="16"/>
  <c r="P48" i="16"/>
  <c r="P49" i="16"/>
  <c r="P50" i="16"/>
  <c r="P51" i="16"/>
  <c r="P52" i="16"/>
  <c r="P53" i="16"/>
  <c r="P54" i="16"/>
  <c r="P55" i="16"/>
  <c r="P56" i="16"/>
  <c r="P57" i="16"/>
  <c r="P58" i="16"/>
  <c r="P59" i="16"/>
  <c r="P60" i="16"/>
  <c r="P61" i="16"/>
  <c r="P62" i="16"/>
  <c r="P63" i="16"/>
  <c r="P64" i="16"/>
  <c r="P65" i="16"/>
  <c r="P66" i="16"/>
  <c r="P67" i="16"/>
  <c r="P68" i="16"/>
  <c r="P69" i="16"/>
  <c r="P70" i="16"/>
  <c r="P71" i="16"/>
  <c r="P72" i="16"/>
  <c r="P73" i="16"/>
  <c r="P74" i="16"/>
  <c r="P75" i="16"/>
  <c r="P76" i="16"/>
  <c r="P77" i="16"/>
  <c r="P78" i="16"/>
  <c r="P79" i="16"/>
  <c r="P80" i="16"/>
  <c r="P81" i="16"/>
  <c r="P82" i="16"/>
  <c r="P83" i="16"/>
  <c r="P84" i="16"/>
  <c r="P85" i="16"/>
  <c r="P86" i="16"/>
  <c r="P87" i="16"/>
  <c r="P88" i="16"/>
  <c r="P89" i="16"/>
  <c r="P90" i="16"/>
  <c r="P91" i="16"/>
  <c r="P92" i="16"/>
  <c r="P93" i="16"/>
  <c r="P94" i="16"/>
  <c r="P95" i="16"/>
  <c r="P96" i="16"/>
  <c r="P97" i="16"/>
  <c r="P98" i="16"/>
  <c r="P99" i="16"/>
  <c r="P100" i="16"/>
  <c r="P101" i="16"/>
  <c r="P102" i="16"/>
  <c r="P103" i="16"/>
  <c r="P104" i="16"/>
  <c r="P105" i="16"/>
  <c r="P106" i="16"/>
  <c r="P107" i="16"/>
  <c r="P108" i="16"/>
  <c r="P109" i="16"/>
  <c r="P110" i="16"/>
  <c r="P111" i="16"/>
  <c r="P112" i="16"/>
  <c r="P113" i="16"/>
  <c r="P114" i="16"/>
  <c r="P115" i="16"/>
  <c r="P116" i="16"/>
  <c r="P117" i="16"/>
  <c r="P118" i="16"/>
  <c r="P119" i="16"/>
  <c r="P120" i="16"/>
  <c r="P121" i="16"/>
  <c r="P122" i="16"/>
  <c r="P123" i="16"/>
  <c r="P124" i="16"/>
  <c r="P125" i="16"/>
  <c r="P126" i="16"/>
  <c r="P127" i="16"/>
  <c r="P128" i="16"/>
  <c r="P129" i="16"/>
  <c r="P130" i="16"/>
  <c r="P131" i="16"/>
  <c r="P132" i="16"/>
  <c r="P133" i="16"/>
  <c r="P134" i="16"/>
  <c r="P135" i="16"/>
  <c r="P136" i="16"/>
  <c r="P137" i="16"/>
  <c r="P138" i="16"/>
  <c r="P139" i="16"/>
  <c r="P140" i="16"/>
  <c r="P141" i="16"/>
  <c r="P142" i="16"/>
  <c r="P143" i="16"/>
  <c r="P144" i="16"/>
  <c r="P145" i="16"/>
  <c r="P146" i="16"/>
  <c r="P147" i="16"/>
  <c r="P148" i="16"/>
  <c r="P149" i="16"/>
  <c r="P150" i="16"/>
  <c r="P151" i="16"/>
  <c r="P152" i="16"/>
  <c r="P153" i="16"/>
  <c r="P154" i="16"/>
  <c r="P155" i="16"/>
  <c r="P156" i="16"/>
  <c r="P157" i="16"/>
  <c r="P158" i="16"/>
  <c r="P159" i="16"/>
  <c r="P160" i="16"/>
  <c r="P161" i="16"/>
  <c r="P162" i="16"/>
  <c r="P163" i="16"/>
  <c r="P164" i="16"/>
  <c r="P165" i="16"/>
  <c r="P166" i="16"/>
  <c r="P167" i="16"/>
  <c r="P168" i="16"/>
  <c r="P169" i="16"/>
  <c r="P170" i="16"/>
  <c r="P171" i="16"/>
  <c r="P172" i="16"/>
  <c r="P173" i="16"/>
  <c r="P174" i="16"/>
  <c r="P175" i="16"/>
  <c r="P176" i="16"/>
  <c r="P177" i="16"/>
  <c r="P178" i="16"/>
  <c r="P179" i="16"/>
  <c r="P180" i="16"/>
  <c r="P181" i="16"/>
  <c r="P182" i="16"/>
  <c r="P183" i="16"/>
  <c r="P184" i="16"/>
  <c r="P185" i="16"/>
  <c r="P186" i="16"/>
  <c r="P187" i="16"/>
  <c r="P188" i="16"/>
  <c r="P189" i="16"/>
  <c r="P190" i="16"/>
  <c r="P191" i="16"/>
  <c r="P192" i="16"/>
  <c r="P193" i="16"/>
  <c r="P194" i="16"/>
  <c r="P195" i="16"/>
  <c r="P196" i="16"/>
  <c r="P197" i="16"/>
  <c r="P198" i="16"/>
  <c r="P199" i="16"/>
  <c r="P200" i="16"/>
  <c r="P201" i="16"/>
  <c r="P202" i="16"/>
  <c r="P203" i="16"/>
  <c r="P204" i="16"/>
  <c r="P205" i="16"/>
  <c r="P206" i="16"/>
  <c r="P207" i="16"/>
  <c r="P208" i="16"/>
  <c r="P209" i="16"/>
  <c r="P210" i="16"/>
  <c r="P211" i="16"/>
  <c r="P212" i="16"/>
  <c r="P213" i="16"/>
  <c r="P214" i="16"/>
  <c r="P215" i="16"/>
  <c r="P216" i="16"/>
  <c r="P217" i="16"/>
  <c r="P218" i="16"/>
  <c r="P219" i="16"/>
  <c r="P220" i="16"/>
  <c r="P221" i="16"/>
  <c r="P222" i="16"/>
  <c r="P223" i="16"/>
  <c r="P224" i="16"/>
  <c r="P225" i="16"/>
  <c r="P226" i="16"/>
  <c r="P227" i="16"/>
  <c r="P228" i="16"/>
  <c r="P229" i="16"/>
  <c r="P230" i="16"/>
  <c r="P231" i="16"/>
  <c r="P232" i="16"/>
  <c r="P233" i="16"/>
  <c r="P234" i="16"/>
  <c r="P235" i="16"/>
  <c r="P236" i="16"/>
  <c r="P237" i="16"/>
  <c r="P238" i="16"/>
  <c r="P239" i="16"/>
  <c r="P240" i="16"/>
  <c r="P241" i="16"/>
  <c r="P242" i="16"/>
  <c r="P243" i="16"/>
  <c r="P244" i="16"/>
  <c r="P245" i="16"/>
  <c r="P246" i="16"/>
  <c r="Q2" i="16"/>
  <c r="Q3" i="16"/>
  <c r="Q4" i="16"/>
  <c r="Q5" i="16"/>
  <c r="Q6" i="16"/>
  <c r="Q7" i="16"/>
  <c r="Q8" i="16"/>
  <c r="Q9" i="16"/>
  <c r="Q10" i="16"/>
  <c r="Q11" i="16"/>
  <c r="Q12" i="16"/>
  <c r="Q13" i="16"/>
  <c r="Q14" i="16"/>
  <c r="Q15" i="16"/>
  <c r="Q16" i="16"/>
  <c r="Q17" i="16"/>
  <c r="Q18" i="16"/>
  <c r="Q19" i="16"/>
  <c r="Q20" i="16"/>
  <c r="Q21" i="16"/>
  <c r="Q22" i="16"/>
  <c r="Q23" i="16"/>
  <c r="Q24" i="16"/>
  <c r="Q25" i="16"/>
  <c r="Q26" i="16"/>
  <c r="Q27" i="16"/>
  <c r="Q28" i="16"/>
  <c r="Q29" i="16"/>
  <c r="Q30" i="16"/>
  <c r="Q31" i="16"/>
  <c r="Q32" i="16"/>
  <c r="Q33" i="16"/>
  <c r="Q34" i="16"/>
  <c r="Q35" i="16"/>
  <c r="Q36" i="16"/>
  <c r="Q37" i="16"/>
  <c r="Q38" i="16"/>
  <c r="Q39" i="16"/>
  <c r="Q40" i="16"/>
  <c r="Q41" i="16"/>
  <c r="Q42" i="16"/>
  <c r="Q43" i="16"/>
  <c r="Q44" i="16"/>
  <c r="Q45" i="16"/>
  <c r="Q46" i="16"/>
  <c r="Q47" i="16"/>
  <c r="Q48" i="16"/>
  <c r="Q49" i="16"/>
  <c r="Q50" i="16"/>
  <c r="Q51" i="16"/>
  <c r="Q52" i="16"/>
  <c r="Q53" i="16"/>
  <c r="Q54" i="16"/>
  <c r="Q55" i="16"/>
  <c r="Q56" i="16"/>
  <c r="Q57" i="16"/>
  <c r="Q58" i="16"/>
  <c r="Q59" i="16"/>
  <c r="Q60" i="16"/>
  <c r="Q61" i="16"/>
  <c r="Q62" i="16"/>
  <c r="Q63" i="16"/>
  <c r="Q64" i="16"/>
  <c r="Q65" i="16"/>
  <c r="Q66" i="16"/>
  <c r="Q67" i="16"/>
  <c r="Q68" i="16"/>
  <c r="Q69" i="16"/>
  <c r="Q70" i="16"/>
  <c r="Q71" i="16"/>
  <c r="Q72" i="16"/>
  <c r="Q73" i="16"/>
  <c r="Q74" i="16"/>
  <c r="Q75" i="16"/>
  <c r="Q76" i="16"/>
  <c r="Q77" i="16"/>
  <c r="Q78" i="16"/>
  <c r="Q79" i="16"/>
  <c r="Q80" i="16"/>
  <c r="Q81" i="16"/>
  <c r="Q82" i="16"/>
  <c r="Q83" i="16"/>
  <c r="Q84" i="16"/>
  <c r="Q85" i="16"/>
  <c r="Q86" i="16"/>
  <c r="Q87" i="16"/>
  <c r="Q88" i="16"/>
  <c r="Q89" i="16"/>
  <c r="Q90" i="16"/>
  <c r="Q91" i="16"/>
  <c r="Q92" i="16"/>
  <c r="Q93" i="16"/>
  <c r="Q94" i="16"/>
  <c r="Q95" i="16"/>
  <c r="Q96" i="16"/>
  <c r="Q97" i="16"/>
  <c r="Q98" i="16"/>
  <c r="Q99" i="16"/>
  <c r="Q100" i="16"/>
  <c r="Q101" i="16"/>
  <c r="Q102" i="16"/>
  <c r="Q103" i="16"/>
  <c r="Q104" i="16"/>
  <c r="Q105" i="16"/>
  <c r="Q106" i="16"/>
  <c r="Q107" i="16"/>
  <c r="Q108" i="16"/>
  <c r="Q109" i="16"/>
  <c r="Q110" i="16"/>
  <c r="Q111" i="16"/>
  <c r="Q112" i="16"/>
  <c r="Q113" i="16"/>
  <c r="Q114" i="16"/>
  <c r="Q115" i="16"/>
  <c r="Q116" i="16"/>
  <c r="Q117" i="16"/>
  <c r="Q118" i="16"/>
  <c r="Q119" i="16"/>
  <c r="Q120" i="16"/>
  <c r="Q121" i="16"/>
  <c r="Q122" i="16"/>
  <c r="Q123" i="16"/>
  <c r="Q124" i="16"/>
  <c r="Q125" i="16"/>
  <c r="Q126" i="16"/>
  <c r="Q127" i="16"/>
  <c r="Q128" i="16"/>
  <c r="Q129" i="16"/>
  <c r="Q130" i="16"/>
  <c r="Q131" i="16"/>
  <c r="Q132" i="16"/>
  <c r="Q133" i="16"/>
  <c r="Q134" i="16"/>
  <c r="Q135" i="16"/>
  <c r="Q136" i="16"/>
  <c r="Q137" i="16"/>
  <c r="Q138" i="16"/>
  <c r="Q139" i="16"/>
  <c r="Q140" i="16"/>
  <c r="Q141" i="16"/>
  <c r="Q142" i="16"/>
  <c r="Q143" i="16"/>
  <c r="Q144" i="16"/>
  <c r="Q145" i="16"/>
  <c r="Q146" i="16"/>
  <c r="Q147" i="16"/>
  <c r="Q148" i="16"/>
  <c r="Q149" i="16"/>
  <c r="Q150" i="16"/>
  <c r="Q151" i="16"/>
  <c r="Q152" i="16"/>
  <c r="Q153" i="16"/>
  <c r="Q154" i="16"/>
  <c r="Q155" i="16"/>
  <c r="Q156" i="16"/>
  <c r="Q157" i="16"/>
  <c r="Q158" i="16"/>
  <c r="Q159" i="16"/>
  <c r="Q160" i="16"/>
  <c r="Q161" i="16"/>
  <c r="Q162" i="16"/>
  <c r="Q163" i="16"/>
  <c r="Q164" i="16"/>
  <c r="Q165" i="16"/>
  <c r="Q166" i="16"/>
  <c r="Q167" i="16"/>
  <c r="Q168" i="16"/>
  <c r="Q169" i="16"/>
  <c r="Q170" i="16"/>
  <c r="Q171" i="16"/>
  <c r="Q172" i="16"/>
  <c r="Q173" i="16"/>
  <c r="Q174" i="16"/>
  <c r="Q175" i="16"/>
  <c r="Q176" i="16"/>
  <c r="Q177" i="16"/>
  <c r="Q178" i="16"/>
  <c r="Q179" i="16"/>
  <c r="Q180" i="16"/>
  <c r="Q181" i="16"/>
  <c r="Q182" i="16"/>
  <c r="Q183" i="16"/>
  <c r="Q184" i="16"/>
  <c r="Q185" i="16"/>
  <c r="Q186" i="16"/>
  <c r="Q187" i="16"/>
  <c r="Q188" i="16"/>
  <c r="Q189" i="16"/>
  <c r="Q190" i="16"/>
  <c r="Q191" i="16"/>
  <c r="Q192" i="16"/>
  <c r="Q193" i="16"/>
  <c r="Q194" i="16"/>
  <c r="Q195" i="16"/>
  <c r="Q196" i="16"/>
  <c r="Q197" i="16"/>
  <c r="Q198" i="16"/>
  <c r="Q199" i="16"/>
  <c r="Q200" i="16"/>
  <c r="Q201" i="16"/>
  <c r="Q202" i="16"/>
  <c r="Q203" i="16"/>
  <c r="Q204" i="16"/>
  <c r="Q205" i="16"/>
  <c r="Q206" i="16"/>
  <c r="Q207" i="16"/>
  <c r="Q208" i="16"/>
  <c r="Q209" i="16"/>
  <c r="Q210" i="16"/>
  <c r="Q211" i="16"/>
  <c r="Q212" i="16"/>
  <c r="Q213" i="16"/>
  <c r="Q214" i="16"/>
  <c r="Q215" i="16"/>
  <c r="Q216" i="16"/>
  <c r="Q217" i="16"/>
  <c r="Q218" i="16"/>
  <c r="Q219" i="16"/>
  <c r="Q220" i="16"/>
  <c r="Q221" i="16"/>
  <c r="Q222" i="16"/>
  <c r="Q223" i="16"/>
  <c r="Q224" i="16"/>
  <c r="Q225" i="16"/>
  <c r="Q226" i="16"/>
  <c r="Q227" i="16"/>
  <c r="Q228" i="16"/>
  <c r="Q229" i="16"/>
  <c r="Q230" i="16"/>
  <c r="Q231" i="16"/>
  <c r="Q232" i="16"/>
  <c r="Q233" i="16"/>
  <c r="Q234" i="16"/>
  <c r="Q235" i="16"/>
  <c r="Q236" i="16"/>
  <c r="Q237" i="16"/>
  <c r="Q238" i="16"/>
  <c r="Q239" i="16"/>
  <c r="Q240" i="16"/>
  <c r="Q241" i="16"/>
  <c r="Q242" i="16"/>
  <c r="Q243" i="16"/>
  <c r="Q244" i="16"/>
  <c r="Q245" i="16"/>
  <c r="Q246" i="16"/>
  <c r="J81" i="3" l="1"/>
  <c r="J377" i="3" l="1"/>
  <c r="J378" i="3"/>
  <c r="J379" i="3"/>
  <c r="J35" i="3"/>
  <c r="J36" i="3"/>
  <c r="J319" i="3"/>
  <c r="J320" i="3"/>
  <c r="J384" i="3"/>
  <c r="J385" i="3"/>
  <c r="J386" i="3"/>
  <c r="J387" i="3"/>
  <c r="J389" i="3"/>
  <c r="J390" i="3"/>
  <c r="J391" i="3"/>
  <c r="J392" i="3"/>
  <c r="J393" i="3"/>
  <c r="J394" i="3"/>
  <c r="J395" i="3"/>
  <c r="J396" i="3"/>
  <c r="J397" i="3"/>
  <c r="J217" i="3"/>
  <c r="J6" i="3"/>
  <c r="J190" i="3"/>
  <c r="J398" i="3"/>
  <c r="J191" i="3"/>
  <c r="J399" i="3"/>
  <c r="J192" i="3"/>
  <c r="J400" i="3"/>
  <c r="J193" i="3"/>
  <c r="J401" i="3"/>
  <c r="J194" i="3"/>
  <c r="J402" i="3"/>
  <c r="J195" i="3"/>
  <c r="J403" i="3"/>
  <c r="J196" i="3"/>
  <c r="J404" i="3"/>
  <c r="J197" i="3"/>
  <c r="J405" i="3"/>
  <c r="J198" i="3"/>
  <c r="J406" i="3"/>
  <c r="J388" i="3"/>
  <c r="J181" i="3"/>
  <c r="J199" i="3"/>
  <c r="J407" i="3"/>
  <c r="J200" i="3"/>
  <c r="J408" i="3"/>
  <c r="J201" i="3"/>
  <c r="J409" i="3"/>
  <c r="J202" i="3"/>
  <c r="J410" i="3"/>
  <c r="J203" i="3"/>
  <c r="J411" i="3"/>
  <c r="J204" i="3"/>
  <c r="J412" i="3"/>
  <c r="J205" i="3"/>
  <c r="J413" i="3"/>
  <c r="J315" i="3"/>
  <c r="J317" i="3"/>
  <c r="J318" i="3"/>
  <c r="J285" i="3"/>
  <c r="J286" i="3"/>
  <c r="J70" i="3"/>
  <c r="J74" i="3"/>
  <c r="J322" i="3"/>
  <c r="J323" i="3"/>
  <c r="J324" i="3"/>
  <c r="J325" i="3"/>
  <c r="J326" i="3"/>
  <c r="J327" i="3"/>
  <c r="J330" i="3"/>
  <c r="J331" i="3"/>
  <c r="J27" i="3"/>
  <c r="J29" i="3"/>
  <c r="J75" i="3"/>
  <c r="J88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227" i="3"/>
  <c r="J250" i="3"/>
  <c r="J364" i="3"/>
  <c r="J365" i="3"/>
  <c r="J366" i="3"/>
  <c r="J367" i="3"/>
  <c r="J368" i="3"/>
  <c r="J369" i="3"/>
  <c r="J370" i="3"/>
  <c r="J371" i="3"/>
  <c r="J372" i="3"/>
  <c r="J373" i="3"/>
  <c r="J156" i="3"/>
  <c r="J157" i="3"/>
  <c r="J376" i="3"/>
  <c r="J8" i="3" l="1"/>
  <c r="J9" i="3"/>
  <c r="J10" i="3"/>
  <c r="J11" i="3"/>
  <c r="J12" i="3"/>
  <c r="J13" i="3"/>
  <c r="J14" i="3"/>
  <c r="J15" i="3"/>
  <c r="J16" i="3"/>
  <c r="J17" i="3"/>
  <c r="J89" i="3"/>
  <c r="J158" i="3"/>
  <c r="J150" i="3"/>
  <c r="J21" i="3"/>
  <c r="J283" i="3"/>
  <c r="J23" i="3"/>
  <c r="J24" i="3"/>
  <c r="J25" i="3"/>
  <c r="J92" i="3"/>
  <c r="J152" i="3"/>
  <c r="J28" i="3"/>
  <c r="J362" i="3"/>
  <c r="J30" i="3"/>
  <c r="J31" i="3"/>
  <c r="J32" i="3"/>
  <c r="J33" i="3"/>
  <c r="J34" i="3"/>
  <c r="J255" i="3"/>
  <c r="J120" i="3"/>
  <c r="J37" i="3"/>
  <c r="J38" i="3"/>
  <c r="J39" i="3"/>
  <c r="J18" i="3"/>
  <c r="J41" i="3"/>
  <c r="J380" i="3"/>
  <c r="J43" i="3"/>
  <c r="J44" i="3"/>
  <c r="J45" i="3"/>
  <c r="J46" i="3"/>
  <c r="J47" i="3"/>
  <c r="J48" i="3"/>
  <c r="J49" i="3"/>
  <c r="J141" i="3"/>
  <c r="J51" i="3"/>
  <c r="J52" i="3"/>
  <c r="J53" i="3"/>
  <c r="J54" i="3"/>
  <c r="J55" i="3"/>
  <c r="J374" i="3"/>
  <c r="J57" i="3"/>
  <c r="J58" i="3"/>
  <c r="J59" i="3"/>
  <c r="J332" i="3"/>
  <c r="J61" i="3"/>
  <c r="J62" i="3"/>
  <c r="J63" i="3"/>
  <c r="J64" i="3"/>
  <c r="J65" i="3"/>
  <c r="J66" i="3"/>
  <c r="J67" i="3"/>
  <c r="J68" i="3"/>
  <c r="J160" i="3"/>
  <c r="J22" i="3"/>
  <c r="J71" i="3"/>
  <c r="J72" i="3"/>
  <c r="J73" i="3"/>
  <c r="J329" i="3"/>
  <c r="J19" i="3"/>
  <c r="J76" i="3"/>
  <c r="J77" i="3"/>
  <c r="J78" i="3"/>
  <c r="J79" i="3"/>
  <c r="J80" i="3"/>
  <c r="J84" i="3"/>
  <c r="J85" i="3"/>
  <c r="J86" i="3"/>
  <c r="J87" i="3"/>
  <c r="J90" i="3"/>
  <c r="J159" i="3"/>
  <c r="J151" i="3"/>
  <c r="J91" i="3"/>
  <c r="J284" i="3"/>
  <c r="J93" i="3"/>
  <c r="J94" i="3"/>
  <c r="J95" i="3"/>
  <c r="J96" i="3"/>
  <c r="J153" i="3"/>
  <c r="J98" i="3"/>
  <c r="J363" i="3"/>
  <c r="J100" i="3"/>
  <c r="J101" i="3"/>
  <c r="J102" i="3"/>
  <c r="J103" i="3"/>
  <c r="J104" i="3"/>
  <c r="J260" i="3"/>
  <c r="J126" i="3"/>
  <c r="J107" i="3"/>
  <c r="J108" i="3"/>
  <c r="J109" i="3"/>
  <c r="J20" i="3"/>
  <c r="J111" i="3"/>
  <c r="J381" i="3"/>
  <c r="J113" i="3"/>
  <c r="J114" i="3"/>
  <c r="J115" i="3"/>
  <c r="J116" i="3"/>
  <c r="J117" i="3"/>
  <c r="J118" i="3"/>
  <c r="J119" i="3"/>
  <c r="J149" i="3"/>
  <c r="J121" i="3"/>
  <c r="J122" i="3"/>
  <c r="J123" i="3"/>
  <c r="J124" i="3"/>
  <c r="J125" i="3"/>
  <c r="J375" i="3"/>
  <c r="J127" i="3"/>
  <c r="J128" i="3"/>
  <c r="J129" i="3"/>
  <c r="J130" i="3"/>
  <c r="J333" i="3"/>
  <c r="J132" i="3"/>
  <c r="J133" i="3"/>
  <c r="J134" i="3"/>
  <c r="J135" i="3"/>
  <c r="J136" i="3"/>
  <c r="J137" i="3"/>
  <c r="J138" i="3"/>
  <c r="J139" i="3"/>
  <c r="J226" i="3"/>
  <c r="J26" i="3"/>
  <c r="J142" i="3"/>
  <c r="J143" i="3"/>
  <c r="J144" i="3"/>
  <c r="J145" i="3"/>
  <c r="J146" i="3"/>
  <c r="J147" i="3"/>
  <c r="J148" i="3"/>
  <c r="J382" i="3"/>
  <c r="J383" i="3"/>
  <c r="J287" i="3"/>
  <c r="J316" i="3"/>
  <c r="J267" i="3"/>
  <c r="J282" i="3"/>
  <c r="J261" i="3"/>
  <c r="J266" i="3"/>
  <c r="J251" i="3"/>
  <c r="J254" i="3"/>
  <c r="J131" i="3"/>
  <c r="J14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2" i="3"/>
  <c r="J183" i="3"/>
  <c r="J184" i="3"/>
  <c r="J185" i="3"/>
  <c r="J186" i="3"/>
  <c r="J187" i="3"/>
  <c r="J188" i="3"/>
  <c r="J189" i="3"/>
  <c r="J218" i="3"/>
  <c r="J219" i="3"/>
  <c r="J220" i="3"/>
  <c r="J221" i="3"/>
  <c r="J222" i="3"/>
  <c r="J223" i="3"/>
  <c r="J224" i="3"/>
  <c r="J225" i="3"/>
  <c r="J321" i="3"/>
  <c r="J328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110" i="3"/>
  <c r="J112" i="3"/>
  <c r="J252" i="3"/>
  <c r="J253" i="3"/>
  <c r="J154" i="3"/>
  <c r="J155" i="3"/>
  <c r="J256" i="3"/>
  <c r="J257" i="3"/>
  <c r="J258" i="3"/>
  <c r="J259" i="3"/>
  <c r="J97" i="3"/>
  <c r="J99" i="3"/>
  <c r="J262" i="3"/>
  <c r="J263" i="3"/>
  <c r="J264" i="3"/>
  <c r="J265" i="3"/>
  <c r="J105" i="3"/>
  <c r="J106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40" i="3"/>
  <c r="J42" i="3"/>
  <c r="J60" i="3"/>
  <c r="J69" i="3"/>
  <c r="J50" i="3"/>
  <c r="J56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7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6157F2-23C2-4EF5-A58F-2DE33E390ED6}" keepAlive="1" name="Query - INSERITO KIM" description="Connection to the 'INSERITO KIM' query in the workbook." type="5" refreshedVersion="8" background="1" saveData="1">
    <dbPr connection="Provider=Microsoft.Mashup.OleDb.1;Data Source=$Workbook$;Location=&quot;INSERITO KIM&quot;;Extended Properties=&quot;&quot;" command="SELECT * FROM [INSERITO KIM]"/>
  </connection>
</connections>
</file>

<file path=xl/sharedStrings.xml><?xml version="1.0" encoding="utf-8"?>
<sst xmlns="http://schemas.openxmlformats.org/spreadsheetml/2006/main" count="4595" uniqueCount="1398">
  <si>
    <t>Cliente</t>
  </si>
  <si>
    <t>FiscalCodeOrPiva</t>
  </si>
  <si>
    <t>Segmento</t>
  </si>
  <si>
    <t>AccountNumber</t>
  </si>
  <si>
    <t>Codice Ordine</t>
  </si>
  <si>
    <t>Codice Comsy Tecnico Attuale</t>
  </si>
  <si>
    <t>Stato dell'ordine CPQ</t>
  </si>
  <si>
    <t>Stato dell'Ordine OM</t>
  </si>
  <si>
    <t>Valore</t>
  </si>
  <si>
    <t>AM</t>
  </si>
  <si>
    <t>TIPO</t>
  </si>
  <si>
    <t>INCASSO</t>
  </si>
  <si>
    <t>SHP</t>
  </si>
  <si>
    <t>FISSO</t>
  </si>
  <si>
    <t>Inviato</t>
  </si>
  <si>
    <t>Fastweb Business Light</t>
  </si>
  <si>
    <t>RES</t>
  </si>
  <si>
    <t>Completato</t>
  </si>
  <si>
    <t>Fastweb Casa FWA</t>
  </si>
  <si>
    <t>Fastweb Casa light</t>
  </si>
  <si>
    <t>FastwebCasa NeXXt casa</t>
  </si>
  <si>
    <t>MOBILE</t>
  </si>
  <si>
    <t>Fastweb Mobile</t>
  </si>
  <si>
    <t>MNP-IN in Corso</t>
  </si>
  <si>
    <t>Fastweb Mobile Dati</t>
  </si>
  <si>
    <t>Fastweb Mobile NeXXt Backup</t>
  </si>
  <si>
    <t>Fastweb Mobile Voce</t>
  </si>
  <si>
    <t>Fastweb NeXXt Business</t>
  </si>
  <si>
    <t>Fastweb NeXXt Business Light</t>
  </si>
  <si>
    <t>Fastweb NeXXt Casa light</t>
  </si>
  <si>
    <t>Fastweb NeXXt Mobile</t>
  </si>
  <si>
    <t>Fastweb NeXXt Mobile Business</t>
  </si>
  <si>
    <t>Fastweb NeXXt Mobile Business Freedom</t>
  </si>
  <si>
    <t>Fastweb NeXXt Mobile Mini</t>
  </si>
  <si>
    <t>INSERITO</t>
  </si>
  <si>
    <t>MAIL</t>
  </si>
  <si>
    <t>POINT A ZERO</t>
  </si>
  <si>
    <t>Codice RES</t>
  </si>
  <si>
    <t>NOME POINT</t>
  </si>
  <si>
    <t>SEGMENTO</t>
  </si>
  <si>
    <t>VALORE</t>
  </si>
  <si>
    <t>Mobile a Consumo</t>
  </si>
  <si>
    <t>Fastweb NeXXt Casa</t>
  </si>
  <si>
    <t>Fastweb Mobile Ver3</t>
  </si>
  <si>
    <t>Fastweb Mobile Light</t>
  </si>
  <si>
    <t>Fastweb Casa Light FWA</t>
  </si>
  <si>
    <t>Fastweb Mobile Voce (Light)</t>
  </si>
  <si>
    <t>Fastweb Mobile Light Ver2</t>
  </si>
  <si>
    <t>Fastweb Mobile Ver2</t>
  </si>
  <si>
    <t>NR.1217.0601NA.C0106</t>
  </si>
  <si>
    <t>NR.1217.0601NA</t>
  </si>
  <si>
    <t>NR.1217.0601NA.C0002</t>
  </si>
  <si>
    <t>NR.1217.0601NA.C0178</t>
  </si>
  <si>
    <t>NR.1217.0601NA.C0198</t>
  </si>
  <si>
    <t>NR.1217.0601NA.C0039</t>
  </si>
  <si>
    <t>NR.1217.0601NA.C0017</t>
  </si>
  <si>
    <t>NR.1217.0601NA.C0114</t>
  </si>
  <si>
    <t>NR.1217.0601NA.C0027</t>
  </si>
  <si>
    <t>NR.1217.0601NA.C0166</t>
  </si>
  <si>
    <t>NR.1217.0601NA.C0078</t>
  </si>
  <si>
    <t>NR.1217.0601NA.C0024</t>
  </si>
  <si>
    <t>NR.1217.0601NA.C0179</t>
  </si>
  <si>
    <t>NR.1217.0601NA.C0012</t>
  </si>
  <si>
    <t>NR.1217.0601NA.C0183</t>
  </si>
  <si>
    <t>NR.1217.0601NA.C0004</t>
  </si>
  <si>
    <t>NR.1217.0601NA.C0059</t>
  </si>
  <si>
    <t>NR.1217.0601NA.C0096</t>
  </si>
  <si>
    <t>NR.1217.0601NA.C0211</t>
  </si>
  <si>
    <t>NR.1217.0601NA.C0194</t>
  </si>
  <si>
    <t>NR.1217.0601NA.C0097</t>
  </si>
  <si>
    <t>NR.1217.0601NA.C0201</t>
  </si>
  <si>
    <t>NR.1217.0601NA.C0022</t>
  </si>
  <si>
    <t>NR.1217.0601NA.C0007</t>
  </si>
  <si>
    <t>NR.1217.0601NA.C0128</t>
  </si>
  <si>
    <t>NS.1638.0601NA.C0022</t>
  </si>
  <si>
    <t>NR.1217.0601NA.C0019</t>
  </si>
  <si>
    <t>NS.1638.0601NA.C0003</t>
  </si>
  <si>
    <t>NR.1217.0601NA.C0167</t>
  </si>
  <si>
    <t>NR.1217.0601NA.C0207</t>
  </si>
  <si>
    <t>NR.1217.0601NA.C0169</t>
  </si>
  <si>
    <t>NR.1217.0601NA.C0020</t>
  </si>
  <si>
    <t>NR.1217.0601NA.C0113</t>
  </si>
  <si>
    <t>NR.1217.0601NA.C0159</t>
  </si>
  <si>
    <t>NR.1217.0601NA.C0185</t>
  </si>
  <si>
    <t>NR.1217.0601NA.C0041</t>
  </si>
  <si>
    <t>NR.1217.0601NA.C0209</t>
  </si>
  <si>
    <t>NR.1217.0601NA.C0055</t>
  </si>
  <si>
    <t>NR.1217.0601NA.C0150</t>
  </si>
  <si>
    <t>NR.1217.0601NA.C0127</t>
  </si>
  <si>
    <t>NR.1217.0601NA.C0120</t>
  </si>
  <si>
    <t>NR.1217.0601NA.C0014</t>
  </si>
  <si>
    <t>NS.1638.0601NA.C0178</t>
  </si>
  <si>
    <t>NS.1638.0601NA</t>
  </si>
  <si>
    <t>NS.1638.0601NA.C0014</t>
  </si>
  <si>
    <t>NR.1217.0601NA.C0163</t>
  </si>
  <si>
    <t>NR.1217.0601NA.C0062</t>
  </si>
  <si>
    <t>NR.1217.0601NA.C0146</t>
  </si>
  <si>
    <t>NR.1217.0601NA.C0208</t>
  </si>
  <si>
    <t>NR.1217.0601NA.C0005</t>
  </si>
  <si>
    <t>NR.1217.0601NA.C0164</t>
  </si>
  <si>
    <t>NR.1217.0601NA.C0043</t>
  </si>
  <si>
    <t>NS.1638.0601NA.C0172</t>
  </si>
  <si>
    <t>NR.1217.0601NA.C0118</t>
  </si>
  <si>
    <t>NR.1217.0601NA.C0155</t>
  </si>
  <si>
    <t>NR.1217.0601NA.C0006</t>
  </si>
  <si>
    <t>NR.1217.0601NA.C0105</t>
  </si>
  <si>
    <t>NR.1217.0601NA.C0129</t>
  </si>
  <si>
    <t>NR.1217.0601NA.C0112</t>
  </si>
  <si>
    <t>NR.1217.0601NA.C0090</t>
  </si>
  <si>
    <t>NR.1217.0601NA.C0049</t>
  </si>
  <si>
    <t>NR.1217.0601NA.C0173</t>
  </si>
  <si>
    <t>NR.1217.0601NA.C0165</t>
  </si>
  <si>
    <t>NR.1217.0601NA.C0035</t>
  </si>
  <si>
    <t>NR.1217.0601NA.C0184</t>
  </si>
  <si>
    <t>NR.1217.0601NA.C0003</t>
  </si>
  <si>
    <t>NR.1217.0601NA.C0047</t>
  </si>
  <si>
    <t>NS.1638.0601NA.C0024</t>
  </si>
  <si>
    <t>NR.1217.0601NA.C0102</t>
  </si>
  <si>
    <t>KIM</t>
  </si>
  <si>
    <t>NS.1638.0601NA.C0002</t>
  </si>
  <si>
    <t>NS.1638.0601NA.C0013</t>
  </si>
  <si>
    <t>PC CENTER DI LACAVA MASSIMO GIUSEPPE</t>
  </si>
  <si>
    <t>NR.1217.0601NA.C0013</t>
  </si>
  <si>
    <t>NR.1217.0601NA.C0023</t>
  </si>
  <si>
    <t>INFOTECNOLAB DI SCURO TEODORO</t>
  </si>
  <si>
    <t>NS.1638.0601NA.C0023</t>
  </si>
  <si>
    <t>NS.1638.0601NA.C0156</t>
  </si>
  <si>
    <t>MALVANI DI MALVANI CARMINE</t>
  </si>
  <si>
    <t>NR.1217.0601NA.C0156</t>
  </si>
  <si>
    <t>NR.1217.0601NA.C0051</t>
  </si>
  <si>
    <t>GIOIA ANTONIO</t>
  </si>
  <si>
    <t>NS.1638.0601NA.C0051</t>
  </si>
  <si>
    <t>CARTOPLANET DI GIUSEPPE RUBINI</t>
  </si>
  <si>
    <t>NS.1638.0601NA.C0020</t>
  </si>
  <si>
    <t>NR.1217.0601NA.C0001</t>
  </si>
  <si>
    <t>NS.1638.0601NA.C0001</t>
  </si>
  <si>
    <t>MEDIA CENTER DI LUCA BARBERIO</t>
  </si>
  <si>
    <t>NS.1638.0601NA.C0004</t>
  </si>
  <si>
    <t>REX</t>
  </si>
  <si>
    <t>NS.1638.0601NA.C0006</t>
  </si>
  <si>
    <t>BECLARI ELECTRONICS</t>
  </si>
  <si>
    <t>NS.1638.0601NA.C0005</t>
  </si>
  <si>
    <t>MONDO TELEFONO DI VITULLI ANGELA</t>
  </si>
  <si>
    <t>NS.1638.0601NA.C0007</t>
  </si>
  <si>
    <t>NS.1638.0601NA.C0019</t>
  </si>
  <si>
    <t>CELLULANDIA DI SPAGNOLO IRINELLA</t>
  </si>
  <si>
    <t>NS.1638.0601NA.C0017</t>
  </si>
  <si>
    <t>NS.1638.0601NA.C0015</t>
  </si>
  <si>
    <t>NR.1217.0601NA.C0015</t>
  </si>
  <si>
    <t>NR.1217.0601NA.C0018</t>
  </si>
  <si>
    <t>PRENCIPE MASSIMO</t>
  </si>
  <si>
    <t>NS.1638.0601NA.C0018</t>
  </si>
  <si>
    <t>PUNTOCOM DI BONITO MARIALUIGIA</t>
  </si>
  <si>
    <t>EXATEL STORE</t>
  </si>
  <si>
    <t>NR.1217.0601NA.C0011</t>
  </si>
  <si>
    <t>WIRELESS TECHNOLOGY DI INNANGI DESIDERIA</t>
  </si>
  <si>
    <t>NS.1638.0601NA.C0011</t>
  </si>
  <si>
    <t>CATANZARO LUIGI</t>
  </si>
  <si>
    <t>NS.1638.0601NA.C0012</t>
  </si>
  <si>
    <t>NR.1217.0601NA.C0010</t>
  </si>
  <si>
    <t>NS.1638.0601NA.C0010</t>
  </si>
  <si>
    <t>NS.1638.0601NA.C0026</t>
  </si>
  <si>
    <t>BAR DOC DI IAMMARINO ALESSANDRO</t>
  </si>
  <si>
    <t>NR.1217.0601NA.C0026</t>
  </si>
  <si>
    <t>TABACCHERIA MAGALDI DAL 1959 DI GENTILE AMALIA</t>
  </si>
  <si>
    <t>NR.1217.0601NA.C0025</t>
  </si>
  <si>
    <t>NS.1638.0601NA.C0027</t>
  </si>
  <si>
    <t>NS.1638.0601NA.C0030</t>
  </si>
  <si>
    <t>NR.1217.0601NA.C0030</t>
  </si>
  <si>
    <t>NS.1638.0601NA.C0029</t>
  </si>
  <si>
    <t>ONLINE 5 SRLS</t>
  </si>
  <si>
    <t>NR.1217.0601NA.C0029</t>
  </si>
  <si>
    <t>NS.1638.0601NA.C0032</t>
  </si>
  <si>
    <t>FEDERASSICURAZIONI DI RIZZELLO FEDERICA</t>
  </si>
  <si>
    <t>NR.1217.0601NA.C0032</t>
  </si>
  <si>
    <t>CELLULAR PARK DI MAGGIO ANTONIO</t>
  </si>
  <si>
    <t>NS.1638.0601NA.C0035</t>
  </si>
  <si>
    <t>NR.1217.0601NA.C0034</t>
  </si>
  <si>
    <t>PUNTO LED DI DE FILIPPO GIOACCHINO</t>
  </si>
  <si>
    <t>NS.1638.0601NA.C0034</t>
  </si>
  <si>
    <t>NS.1638.0601NA.C0052</t>
  </si>
  <si>
    <t>NR.1217.0601NA.C0052</t>
  </si>
  <si>
    <t>NR.1217.0601NA.C0033</t>
  </si>
  <si>
    <t>NS.1638.0601NA.C0033</t>
  </si>
  <si>
    <t>NS.1638.0601NA.C0036</t>
  </si>
  <si>
    <t>COMPUTER WORLD DI SANTORSA GIUSEPPE</t>
  </si>
  <si>
    <t>NR.1217.0601NA.C0036</t>
  </si>
  <si>
    <t>NS.1638.0601NA.C0040</t>
  </si>
  <si>
    <t>NR.1217.0601NA.C0040</t>
  </si>
  <si>
    <t>NS.1638.0601NA.C0039</t>
  </si>
  <si>
    <t>NORBATEL DI PASCALE ALESSANDRO</t>
  </si>
  <si>
    <t>FOTO ALL TECHNOLOGIES DI FUINA COSIMO DAMIANO</t>
  </si>
  <si>
    <t>NS.1638.0601NA.C0043</t>
  </si>
  <si>
    <t>NR.1217.0601NA.C0045</t>
  </si>
  <si>
    <t>MASS TECH S.R.L.S.</t>
  </si>
  <si>
    <t>NS.1638.0601NA.C0045</t>
  </si>
  <si>
    <t>LEVAPHONE DI LEVA ANTONIO</t>
  </si>
  <si>
    <t>NS.1638.0601NA.C0041</t>
  </si>
  <si>
    <t>NR.1217.0601NA.C0042</t>
  </si>
  <si>
    <t>DODICI RE SRLS</t>
  </si>
  <si>
    <t>NS.1638.0601NA.C0042</t>
  </si>
  <si>
    <t>NS.1638.0601NA.C0044</t>
  </si>
  <si>
    <t>MEGAPHONE DI PELLEGRINO GIUSEPPINA</t>
  </si>
  <si>
    <t>NR.1217.0601NA.C0044</t>
  </si>
  <si>
    <t>CASALUCI S.R.L.</t>
  </si>
  <si>
    <t>NS.1638.0601NA.C0049</t>
  </si>
  <si>
    <t>RAME DI DELOS REYES FRANCESCO</t>
  </si>
  <si>
    <t>NS.1638.0601NA.C0047</t>
  </si>
  <si>
    <t>NR.1217.0601NA.C0050</t>
  </si>
  <si>
    <t>ELECTROASSIST DI LABIENTE LAZZARO</t>
  </si>
  <si>
    <t>NS.1638.0601NA.C0050</t>
  </si>
  <si>
    <t>NS.1638.0601NA.C0054</t>
  </si>
  <si>
    <t>IDEANOVA DI MINERVINI MARISTELLA</t>
  </si>
  <si>
    <t>NR.1217.0601NA.C0054</t>
  </si>
  <si>
    <t>NS.1638.0601NA.C0055</t>
  </si>
  <si>
    <t>NR.1217.0601NA.C0053</t>
  </si>
  <si>
    <t>COMPUTER ASSISTANT DI SERGIO BRUNO</t>
  </si>
  <si>
    <t>NS.1638.0601NA.C0053</t>
  </si>
  <si>
    <t>NR.1217.0601NA.C0057</t>
  </si>
  <si>
    <t>GIOIE DEL KASHMIR DI HASHIM YASEEN GHUMMAN</t>
  </si>
  <si>
    <t>NS.1638.0601NA.C0057</t>
  </si>
  <si>
    <t>NR.1217.0601NA.C0056</t>
  </si>
  <si>
    <t>RESTART DI FABRIZIO MY</t>
  </si>
  <si>
    <t>NS.1638.0601NA.C0056</t>
  </si>
  <si>
    <t>NS.1638.0601NA.C0059</t>
  </si>
  <si>
    <t>NS.1638.0601NA.C0062</t>
  </si>
  <si>
    <t>D'ANZIERI FELICE</t>
  </si>
  <si>
    <t>NS.1638.0601NA.C0060</t>
  </si>
  <si>
    <t>TECNO CELLULAR DI CORTESE GIANNI</t>
  </si>
  <si>
    <t>NR.1217.0601NA.C0060</t>
  </si>
  <si>
    <t>NS.1638.0601NA.C0061</t>
  </si>
  <si>
    <t>TC TELEFONIA E COMPUTER DI LEO FRANCESCO</t>
  </si>
  <si>
    <t>NR.1217.0601NA.C0061</t>
  </si>
  <si>
    <t>NR.1217.0601NA.C0072</t>
  </si>
  <si>
    <t>BRUNO STEFANO E FRANCESCO SNC</t>
  </si>
  <si>
    <t>NS.1638.0601NA.C0072</t>
  </si>
  <si>
    <t>NS.1638.0601NA.C0064</t>
  </si>
  <si>
    <t>HG STORE DI SANTORO FRANCESCO</t>
  </si>
  <si>
    <t>NR.1217.0601NA.C0064</t>
  </si>
  <si>
    <t>NR.1217.0601NA.C0063</t>
  </si>
  <si>
    <t>AI PORTICI DI ZAMMARANO GIUSEPPE</t>
  </si>
  <si>
    <t>NS.1638.0601NA.C0063</t>
  </si>
  <si>
    <t>NR.1217.0601NA.C0066</t>
  </si>
  <si>
    <t>BUNNY'S STORE DI ANTONIO PROTOPAPA</t>
  </si>
  <si>
    <t>NS.1638.0601NA.C0066</t>
  </si>
  <si>
    <t>NS.1638.0601NA.C0067</t>
  </si>
  <si>
    <t>NR.1217.0601NA.C0067</t>
  </si>
  <si>
    <t>NR.1217.0601NA.C0068</t>
  </si>
  <si>
    <t>ON LINE NUOVE IDEE DI PEDONE CRISTINA SIMONA &amp; C. S.A.S.</t>
  </si>
  <si>
    <t>NS.1638.0601NA.C0068</t>
  </si>
  <si>
    <t>NR.1217.0601NA.C0069</t>
  </si>
  <si>
    <t>START INFORMATICA DI SUSCA VALERIO</t>
  </si>
  <si>
    <t>NS.1638.0601NA.C0069</t>
  </si>
  <si>
    <t>NS.1638.0601NA.C0073</t>
  </si>
  <si>
    <t>ET ELETTRONICA TELECOMUNICAZIONI SERVIZI SRL</t>
  </si>
  <si>
    <t>NR.1217.0601NA.C0073</t>
  </si>
  <si>
    <t>NR.1217.0601NA.C0074</t>
  </si>
  <si>
    <t>NS.1638.0601NA.C0074</t>
  </si>
  <si>
    <t>NS.1638.0601NA.C0075</t>
  </si>
  <si>
    <t>MEGABYTE DI FERSINI ANTONIO</t>
  </si>
  <si>
    <t>NR.1217.0601NA.C0075</t>
  </si>
  <si>
    <t>MARKETING SOLUTION S.R.L.S.</t>
  </si>
  <si>
    <t>NS.1638.0601NA.C0078</t>
  </si>
  <si>
    <t>NS.1638.0601NA.C0076</t>
  </si>
  <si>
    <t>NR.1217.0601NA.C0076</t>
  </si>
  <si>
    <t>NS.1638.0601NA.C0079</t>
  </si>
  <si>
    <t>TOUCH MELFI S.R.L.S.</t>
  </si>
  <si>
    <t>NR.1217.0601NA.C0079</t>
  </si>
  <si>
    <t>NR.1217.0601NA.C0080</t>
  </si>
  <si>
    <t>NS.1638.0601NA.C0080</t>
  </si>
  <si>
    <t>NS.1638.0601NA.C0085</t>
  </si>
  <si>
    <t>GLOBAL COM BASILICATA S.R.L.</t>
  </si>
  <si>
    <t>NR.1217.0601NA.C0085</t>
  </si>
  <si>
    <t>NS.1638.0601NA.C0084</t>
  </si>
  <si>
    <t>BLINK S.R.L.</t>
  </si>
  <si>
    <t>NR.1217.0601NA.C0084</t>
  </si>
  <si>
    <t>NS.1638.0601NA.C0086</t>
  </si>
  <si>
    <t>DF TELEFONIA S.R.L.</t>
  </si>
  <si>
    <t>NR.1217.0601NA.C0086</t>
  </si>
  <si>
    <t>NS.1638.0601NA.C0088</t>
  </si>
  <si>
    <t>THE WALL MUSIC CENTER DI GRASSI GIANLUCA</t>
  </si>
  <si>
    <t>NR.1217.0601NA.C0088</t>
  </si>
  <si>
    <t>NR.1217.0601NA.C0089</t>
  </si>
  <si>
    <t>NS.1638.0601NA.C0089</t>
  </si>
  <si>
    <t>NR.1217.0601NA.C0098</t>
  </si>
  <si>
    <t>ITECHNOLOGY DI PATISSO STEFANO</t>
  </si>
  <si>
    <t>NS.1638.0601NA.C0098</t>
  </si>
  <si>
    <t>NS.1638.0601NA.C0097</t>
  </si>
  <si>
    <t>DEBATECH DI DE PIANO DINA</t>
  </si>
  <si>
    <t>DEL COCCHIO FABIO</t>
  </si>
  <si>
    <t>NS.1638.0601NA.C0096</t>
  </si>
  <si>
    <t>NR.1217.0601NA.C0100</t>
  </si>
  <si>
    <t>NS.1638.0601NA.C0100</t>
  </si>
  <si>
    <t>NS.1638.0601NA.C0090</t>
  </si>
  <si>
    <t>NS.1638.0601NA.C0101</t>
  </si>
  <si>
    <t>GHITESCU IONELA</t>
  </si>
  <si>
    <t>NR.1217.0601NA.C0101</t>
  </si>
  <si>
    <t>NS.1638.0601NA.C0092</t>
  </si>
  <si>
    <t>NR.1217.0601NA.C0092</t>
  </si>
  <si>
    <t>NR.1217.0601NA.C0091</t>
  </si>
  <si>
    <t>DIANA STEFANO</t>
  </si>
  <si>
    <t>NS.1638.0601NA.C0091</t>
  </si>
  <si>
    <t>NS.1638.0601NA.C0116</t>
  </si>
  <si>
    <t>CELLULOPOLI DI ALTAVILLA MARCO</t>
  </si>
  <si>
    <t>NR.1217.0601NA.C0116</t>
  </si>
  <si>
    <t>NR.1217.0601NA.C0117</t>
  </si>
  <si>
    <t>NS.1638.0601NA.C0117</t>
  </si>
  <si>
    <t>TECNOSTORE DI STEFANELLI MICHELE GIOVANNI</t>
  </si>
  <si>
    <t>NS.1638.0601NA.C0118</t>
  </si>
  <si>
    <t>NR.1217.0601NA.C0119</t>
  </si>
  <si>
    <t>ELITE ELETTRODOMESTICI DI EVANGELISTA ANDREA</t>
  </si>
  <si>
    <t>NS.1638.0601NA.C0119</t>
  </si>
  <si>
    <t>NS.1638.0601NA.C0120</t>
  </si>
  <si>
    <t>TALK LINE DI MELELEO LORENZO</t>
  </si>
  <si>
    <t>NR.1217.0601NA.C0104</t>
  </si>
  <si>
    <t>NS.1638.0601NA.C0104</t>
  </si>
  <si>
    <t>SMART TECH DI BASILE EUFEMIA</t>
  </si>
  <si>
    <t>NS.1638.0601NA.C0102</t>
  </si>
  <si>
    <t>NR.1217.0601NA.C0103</t>
  </si>
  <si>
    <t>NS.1638.0601NA.C0103</t>
  </si>
  <si>
    <t>NS.1638.0601NA.C0121</t>
  </si>
  <si>
    <t>DI MONTE EUSTACHIO</t>
  </si>
  <si>
    <t>NR.1217.0601NA.C0121</t>
  </si>
  <si>
    <t>DI LASCIO FRANCESCO</t>
  </si>
  <si>
    <t>NS.1638.0601NA.C0105</t>
  </si>
  <si>
    <t>PASANISI VALERIO GIORGIO</t>
  </si>
  <si>
    <t>NS.1638.0601NA.C0106</t>
  </si>
  <si>
    <t>NS.1638.0601NA.C0108</t>
  </si>
  <si>
    <t>NR.1217.0601NA.C0108</t>
  </si>
  <si>
    <t>NR.1217.0601NA.C0109</t>
  </si>
  <si>
    <t>NS.1638.0601NA.C0109</t>
  </si>
  <si>
    <t>NR.1217.0601NA.C0110</t>
  </si>
  <si>
    <t>EMPORIO COLUZZI DI COLUZZI PIETRO</t>
  </si>
  <si>
    <t>NS.1638.0601NA.C0110</t>
  </si>
  <si>
    <t>NS.1638.0601NA.C0111</t>
  </si>
  <si>
    <t>VERRE DONATO</t>
  </si>
  <si>
    <t>NR.1217.0601NA.C0111</t>
  </si>
  <si>
    <t>NS.1638.0601NA.C0112</t>
  </si>
  <si>
    <t>TOP AUDIO VIDEO DI SCAROLA MATTEO</t>
  </si>
  <si>
    <t>NS.1638.0601NA.C0113</t>
  </si>
  <si>
    <t>COLELLA ELIODORO LUCIO</t>
  </si>
  <si>
    <t>NS.1638.0601NA.C0114</t>
  </si>
  <si>
    <t>NS.1638.0601NA.C0152</t>
  </si>
  <si>
    <t>NR.1217.0601NA.C0152</t>
  </si>
  <si>
    <t>NS.1638.0601NA.C0123</t>
  </si>
  <si>
    <t>NR.1217.0601NA.C0123</t>
  </si>
  <si>
    <t>NS.1638.0601NA.C0126</t>
  </si>
  <si>
    <t>EUROCOMPUTER DI ARSIENI ANGELO</t>
  </si>
  <si>
    <t>NR.1217.0601NA.C0126</t>
  </si>
  <si>
    <t>NS.1638.0601NA.C0127</t>
  </si>
  <si>
    <t>HDC REPAIR SERVICE DI FRANCAVILLA MICHELE</t>
  </si>
  <si>
    <t>NS.1638.0601NA.C0128</t>
  </si>
  <si>
    <t>NS.1638.0601NA.C0129</t>
  </si>
  <si>
    <t>NS.1638.0601NA.C0130</t>
  </si>
  <si>
    <t>MARINO MARIO</t>
  </si>
  <si>
    <t>NR.1217.0601NA.C0130</t>
  </si>
  <si>
    <t>NS.1638.0601NA.C0131</t>
  </si>
  <si>
    <t>GLOBAL SERVICE DI CAPUTO ROCCO LUCIANO</t>
  </si>
  <si>
    <t>NR.1217.0601NA.C0131</t>
  </si>
  <si>
    <t>NS.1638.0601NA.C0141</t>
  </si>
  <si>
    <t>FREE-LINE DI SANSONE SERGIO</t>
  </si>
  <si>
    <t>NR.1217.0601NA.C0141</t>
  </si>
  <si>
    <t>NR.1217.0601NA.C0140</t>
  </si>
  <si>
    <t>LA NUOVA TELEFONIA DI PRENCIPE ETTORE SALVATORE</t>
  </si>
  <si>
    <t>NS.1638.0601NA.C0140</t>
  </si>
  <si>
    <t>NS.1638.0601NA.C0139</t>
  </si>
  <si>
    <t>SMART BOX</t>
  </si>
  <si>
    <t>NR.1217.0601NA.C0139</t>
  </si>
  <si>
    <t>NR.1217.0601NA.C0138</t>
  </si>
  <si>
    <t>NS.1638.0601NA.C0138</t>
  </si>
  <si>
    <t>NR.1217.0601NA.C0135</t>
  </si>
  <si>
    <t>HI-TECH INNOVATION DI D'AMATO CLAUDIO</t>
  </si>
  <si>
    <t>NS.1638.0601NA.C0135</t>
  </si>
  <si>
    <t>NR.1217.0601NA.C0134</t>
  </si>
  <si>
    <t>PUNTO SMART S.R.L.S</t>
  </si>
  <si>
    <t>NS.1638.0601NA.C0134</t>
  </si>
  <si>
    <t>NR.1217.0601NA.C0132</t>
  </si>
  <si>
    <t>RIPARO EXPRESS DI MARIO PIO DE CARLO</t>
  </si>
  <si>
    <t>NS.1638.0601NA.C0132</t>
  </si>
  <si>
    <t>NS.1638.0601NA.C0142</t>
  </si>
  <si>
    <t>MEDIA DREAMS DI MARCOVECCHIO ANTONLUCA</t>
  </si>
  <si>
    <t>NR.1217.0601NA.C0142</t>
  </si>
  <si>
    <t>NS.1638.0601NA.C0143</t>
  </si>
  <si>
    <t>MORIERO SANDRO</t>
  </si>
  <si>
    <t>NR.1217.0601NA.C0143</t>
  </si>
  <si>
    <t>NR.1217.0601NA.C0145</t>
  </si>
  <si>
    <t>ITECH DI POLITI MARCO</t>
  </si>
  <si>
    <t>NS.1638.0601NA.C0145</t>
  </si>
  <si>
    <t>NS.1638.0601NA.C0146</t>
  </si>
  <si>
    <t>NS.1638.0601NA.C0148</t>
  </si>
  <si>
    <t>NR.1217.0601NA.C0148</t>
  </si>
  <si>
    <t>NR.1217.0601NA.C0144</t>
  </si>
  <si>
    <t>MIKE'S PHONE DI TETRO MICHELE</t>
  </si>
  <si>
    <t>NS.1638.0601NA.C0144</t>
  </si>
  <si>
    <t>NS.1638.0601NA.C0147</t>
  </si>
  <si>
    <t>NR.1217.0601NA.C0147</t>
  </si>
  <si>
    <t>NR.1217.0601NA.C0149</t>
  </si>
  <si>
    <t>ELETTROSHOP S.R.L</t>
  </si>
  <si>
    <t>NS.1638.0601NA.C0149</t>
  </si>
  <si>
    <t>NS.1638.0601NA.C0150</t>
  </si>
  <si>
    <t>IN RETE DI GIACOMO LEO</t>
  </si>
  <si>
    <t>NR.1217.0601NA.C0151</t>
  </si>
  <si>
    <t>SCHITO MAGGIO S.N.C</t>
  </si>
  <si>
    <t>NS.1638.0601NA.C0151</t>
  </si>
  <si>
    <t>NS.1638.0601NA.C0153</t>
  </si>
  <si>
    <t>VOCE E SUONI DI LATRONICO STEFANIA</t>
  </si>
  <si>
    <t>NR.1217.0601NA.C0153</t>
  </si>
  <si>
    <t>NS.1638.0601NA.C0154</t>
  </si>
  <si>
    <t>BERARDI MAURIZIO</t>
  </si>
  <si>
    <t>NR.1217.0601NA.C0154</t>
  </si>
  <si>
    <t>GIOVE - TECH DI CIAFARDONI NELLO</t>
  </si>
  <si>
    <t>NS.1638.0601NA.C0155</t>
  </si>
  <si>
    <t>NS.1638.0601NA.C0157</t>
  </si>
  <si>
    <t>SINISI LORENZO</t>
  </si>
  <si>
    <t>NR.1217.0601NA.C0157</t>
  </si>
  <si>
    <t>NS.1638.0601NA.C0158</t>
  </si>
  <si>
    <t>NR.1217.0601NA.C0158</t>
  </si>
  <si>
    <t>NS.1638.0601NA.C0163</t>
  </si>
  <si>
    <t>NS.1638.0601NA.C0162</t>
  </si>
  <si>
    <t>NR.1217.0601NA.C0162</t>
  </si>
  <si>
    <t>NR.1217.0601NA.C0161</t>
  </si>
  <si>
    <t>LOFRANCO DARIO</t>
  </si>
  <si>
    <t>NS.1638.0601NA.C0161</t>
  </si>
  <si>
    <t>NS.1638.0601NA.C0159</t>
  </si>
  <si>
    <t>NR.1217.0601NA.C0172</t>
  </si>
  <si>
    <t>NS.1638.0601NA.C0174</t>
  </si>
  <si>
    <t>NR.1217.0601NA.C0174</t>
  </si>
  <si>
    <t>NR.1217.0601NA.C0175</t>
  </si>
  <si>
    <t>NS.1638.0601NA.C0175</t>
  </si>
  <si>
    <t>NR.1217.0601NA.C0176</t>
  </si>
  <si>
    <t>ALBANO ELETTRODOMESTICI</t>
  </si>
  <si>
    <t>NS.1638.0601NA.C0176</t>
  </si>
  <si>
    <t>NS.1638.0601NA.C0173</t>
  </si>
  <si>
    <t>NR.1217.0601NA.C0168</t>
  </si>
  <si>
    <t>COMPUTER STORE DI BIANCO LUCA</t>
  </si>
  <si>
    <t>NS.1638.0601NA.C0168</t>
  </si>
  <si>
    <t>NS.1638.0601NA.C0169</t>
  </si>
  <si>
    <t>NS.1638.0601NA.C0170</t>
  </si>
  <si>
    <t>NR.1217.0601NA.C0170</t>
  </si>
  <si>
    <t>NS.1638.0601NA.C0164</t>
  </si>
  <si>
    <t>NS.1638.0601NA.C0167</t>
  </si>
  <si>
    <t>GALLITELLI ANTONIO</t>
  </si>
  <si>
    <t>NS.1638.0601NA.C0166</t>
  </si>
  <si>
    <t>NS.1638.0601NA.C0171</t>
  </si>
  <si>
    <t>NR.1217.0601NA.C0171</t>
  </si>
  <si>
    <t>NS.1638.0601NA.C0165</t>
  </si>
  <si>
    <t>EXE SOLUTION INFORMATICA E TELEFONIA DI MUSCA ENRICO</t>
  </si>
  <si>
    <t>NS.1638.0601NA.C0179</t>
  </si>
  <si>
    <t>NS.1638.0601NA.C0180</t>
  </si>
  <si>
    <t>R&amp;P PLANET PHONE SRLS</t>
  </si>
  <si>
    <t>NR.1217.0601NA.C0180</t>
  </si>
  <si>
    <t>NR.1217.0601NA.C0177</t>
  </si>
  <si>
    <t>NAPOLI CHRISTIAN QUINTINO</t>
  </si>
  <si>
    <t>NS.1638.0601NA.C0177</t>
  </si>
  <si>
    <t>NR.1217.0601NA.C0182</t>
  </si>
  <si>
    <t>POSTEXPRESS S.R.L.S</t>
  </si>
  <si>
    <t>NS.1638.0601NA.C0182</t>
  </si>
  <si>
    <t>NR.1217.0601NA.C0181</t>
  </si>
  <si>
    <t>NS.1638.0601NA.C0181</t>
  </si>
  <si>
    <t>NS.1638.0601NA.C0185</t>
  </si>
  <si>
    <t>NS.1638.0601NA.C0184</t>
  </si>
  <si>
    <t>NS.1638.0601NA.C0183</t>
  </si>
  <si>
    <t>NR.1217.0601NA.C0188</t>
  </si>
  <si>
    <t>PASSAVANTI LUIGI</t>
  </si>
  <si>
    <t>NS.1638.0601NA.C0188</t>
  </si>
  <si>
    <t>NS.1638.0601NA.C0194</t>
  </si>
  <si>
    <t>NR.1217.0601NA.C0187</t>
  </si>
  <si>
    <t>MAPRI INFORMATICA DI MARZANO BEATE</t>
  </si>
  <si>
    <t>NS.1638.0601NA.C0187</t>
  </si>
  <si>
    <t>NS.1638.0601NA.C0186</t>
  </si>
  <si>
    <t>FIX&amp;PLAY DI DINICHILO GIUSEPPE</t>
  </si>
  <si>
    <t>NR.1217.0601NA.C0186</t>
  </si>
  <si>
    <t>NS.1638.0601NA.C0198</t>
  </si>
  <si>
    <t>NR.1217.0601NA.C0190</t>
  </si>
  <si>
    <t>NS.1638.0601NA.C0190</t>
  </si>
  <si>
    <t>NS.1638.0601NA.C0193</t>
  </si>
  <si>
    <t>INFOTECH DI GRECO GIUSEPPE</t>
  </si>
  <si>
    <t>NR.1217.0601NA.C0193</t>
  </si>
  <si>
    <t>NR.1217.0601NA.C0192</t>
  </si>
  <si>
    <t>NS.1638.0601NA.C0192</t>
  </si>
  <si>
    <t>NR.1217.0601NA.C0191</t>
  </si>
  <si>
    <t>NS.1638.0601NA.C0191</t>
  </si>
  <si>
    <t>NR.1217.0601NA.C0189</t>
  </si>
  <si>
    <t>NS.1638.0601NA.C0189</t>
  </si>
  <si>
    <t>NS.1638.0601NA.C0197</t>
  </si>
  <si>
    <t>NR.1217.0601NA.C0197</t>
  </si>
  <si>
    <t>NR.1217.0601NA.C0196</t>
  </si>
  <si>
    <t>GIANPYTEL DI GIANPIERO ESPOSITO</t>
  </si>
  <si>
    <t>NS.1638.0601NA.C0196</t>
  </si>
  <si>
    <t>NR.1217.0601NA.C0195</t>
  </si>
  <si>
    <t>RIPARA FACILE POTENZA DI PALESE GIUSEPPE</t>
  </si>
  <si>
    <t>NS.1638.0601NA.C0195</t>
  </si>
  <si>
    <t>NS.1638.0601NA.C0203</t>
  </si>
  <si>
    <t>SHOCK</t>
  </si>
  <si>
    <t>NR.1217.0601NA.C0203</t>
  </si>
  <si>
    <t>NR.1217.0601NA.C0202</t>
  </si>
  <si>
    <t>QUARTA MATTIA</t>
  </si>
  <si>
    <t>NS.1638.0601NA.C0201</t>
  </si>
  <si>
    <t>NR.1217.0601NA.C0200</t>
  </si>
  <si>
    <t>MINILUCI SRL</t>
  </si>
  <si>
    <t>NS.1638.0601NA.C0200</t>
  </si>
  <si>
    <t>NS.1638.0601NA.C0199</t>
  </si>
  <si>
    <t>DE SANTIS GIUSEPPE</t>
  </si>
  <si>
    <t>NR.1217.0601NA.C0199</t>
  </si>
  <si>
    <t>NS.1638.0601NA.C0205</t>
  </si>
  <si>
    <t>LA TELEFONIA DI ANTONIO LUPO</t>
  </si>
  <si>
    <t>NR.1217.0601NA.C0205</t>
  </si>
  <si>
    <t>NS.1638.0601NA.C0209</t>
  </si>
  <si>
    <t>SVAR DI LEO CHRISTIAN</t>
  </si>
  <si>
    <t>NS.1638.0601NA.C0208</t>
  </si>
  <si>
    <t>TAMBORRINO ANTONIO</t>
  </si>
  <si>
    <t>CATTANEO DIRCE</t>
  </si>
  <si>
    <t>NS.1638.0601NA.C0207</t>
  </si>
  <si>
    <t>NS.1638.0601NA.C0206</t>
  </si>
  <si>
    <t>TECNOLINE DI CASCIARO ORESTE</t>
  </si>
  <si>
    <t>NR.1217.0601NA.C0206</t>
  </si>
  <si>
    <t>NS.1638.0601NA.C0210</t>
  </si>
  <si>
    <t>NR.1217.0601NA.C0210</t>
  </si>
  <si>
    <t>POINT</t>
  </si>
  <si>
    <t>Count of Valore</t>
  </si>
  <si>
    <t>VASC</t>
  </si>
  <si>
    <t>Sum of VASC</t>
  </si>
  <si>
    <t>NS.1638.0601NA.C0211</t>
  </si>
  <si>
    <t>EXPERIENCE SRL</t>
  </si>
  <si>
    <t>CENTRO SERVIZI CAFAGNA</t>
  </si>
  <si>
    <t xml:space="preserve">NS.1638.0601NA.C0202 </t>
  </si>
  <si>
    <t>SPAGNOLO INFORMATICA E UFFICIO DI SPAGNOLO ANGELO</t>
  </si>
  <si>
    <t>COMUNICARE.IT</t>
  </si>
  <si>
    <t>TECNOSYSTEM EL. CAPUTO ROSARIA</t>
  </si>
  <si>
    <t>CELLULAR CENTER di D'ERCOLE MICHELE</t>
  </si>
  <si>
    <t>TECNOLAB S.N.C DI LUCA SERRA E FRANCESCA ARNO'</t>
  </si>
  <si>
    <t>CASA DELLA CHIAVE DI FRANCESCO</t>
  </si>
  <si>
    <t>CARTOLIBRERIA LA MATITA - Smartphone S.R.L.S.</t>
  </si>
  <si>
    <t>PC WORLD</t>
  </si>
  <si>
    <t>EURONICS GIUSEPPE BELLANOVA</t>
  </si>
  <si>
    <t>ELEKTRO-DO DOMENICO LOBASCIO</t>
  </si>
  <si>
    <t>MARINO TECH S.R.L</t>
  </si>
  <si>
    <t>FLYNET S.R.L.S</t>
  </si>
  <si>
    <t>ON LINE TECH SRLS</t>
  </si>
  <si>
    <t>HUB 98 di DRAGONE GIUSEPPE</t>
  </si>
  <si>
    <t>GRECO SERVICE</t>
  </si>
  <si>
    <t>UNIEURO MORCIANO COSIMO</t>
  </si>
  <si>
    <t xml:space="preserve">PC SYSTEM DI EMANUELE SERINELLI </t>
  </si>
  <si>
    <t>ISI COMPUTER S.R.L</t>
  </si>
  <si>
    <t>CARTOLIBRERIA CASTELLINARIA DI SPONZIELLO CLAUDIO</t>
  </si>
  <si>
    <t>HOSPITAL PHONE</t>
  </si>
  <si>
    <t>FREEDOM COMPUTER</t>
  </si>
  <si>
    <t>GMP INFORMATICA DI MANCO GIORGIO PASQUALE</t>
  </si>
  <si>
    <t>GUGLIELMI NICOLA ME.GA ELETRONICS STORE</t>
  </si>
  <si>
    <t>HAPPYNET DI DEFLORIO</t>
  </si>
  <si>
    <t>GIOMIR S.R.L.S</t>
  </si>
  <si>
    <t>BOXSTORE DI SAVINO</t>
  </si>
  <si>
    <t>PASCUCCIO MARCELLO</t>
  </si>
  <si>
    <t>HTS COMPUTERS</t>
  </si>
  <si>
    <t>COMPUTER ON LINE</t>
  </si>
  <si>
    <t>FC POINT DI FRASCOLLA CRISTINA</t>
  </si>
  <si>
    <t>TECNOLOGY PARTS</t>
  </si>
  <si>
    <t>CELLULAR POINT MANIA </t>
  </si>
  <si>
    <t>ELETTRONICA 2000 di MARIA RITA CRETI'</t>
  </si>
  <si>
    <t>NICK TEL DI NICOLA MASTROCRISTINO</t>
  </si>
  <si>
    <t>BARBERINI</t>
  </si>
  <si>
    <t>RP GROUP S.R.L. - EX: PR &amp; ST SRL</t>
  </si>
  <si>
    <r>
      <t>S20 SRL (ELETTRONICA PLUS DI CARBOTTI UCCIO)</t>
    </r>
    <r>
      <rPr>
        <sz val="11"/>
        <color rgb="FFFF0000"/>
        <rFont val="Calibri"/>
        <family val="2"/>
      </rPr>
      <t xml:space="preserve">  </t>
    </r>
  </si>
  <si>
    <t>NET@LAB di GATTO MICHELE</t>
  </si>
  <si>
    <t>INFORMATICA 2000 DI ALBANO SONIA</t>
  </si>
  <si>
    <t>ELETTROSYSTEM DI PASQUALE BALDANTONI</t>
  </si>
  <si>
    <t>PRESTIGE ROCCO BACCELLIERI</t>
  </si>
  <si>
    <t>POWER di ANTONIO RAELI</t>
  </si>
  <si>
    <t xml:space="preserve">VOLGARINO DOMENICO MATTEO </t>
  </si>
  <si>
    <t>LA CONNESSIONE di GABRIELE DONATELLA</t>
  </si>
  <si>
    <t>GALLO S.R.L</t>
  </si>
  <si>
    <t>ELETTROTEL LAGHEZZA FRANCESCO</t>
  </si>
  <si>
    <t xml:space="preserve">ELETTRONICA SERVICE DI SOLAZZO GIOVANNI      </t>
  </si>
  <si>
    <t>COMPLEXUS SRL   GABRIELE SOLOMBRINO</t>
  </si>
  <si>
    <t xml:space="preserve">HI STORE SRLS </t>
  </si>
  <si>
    <t xml:space="preserve">S.O.S. SMARTPHONE DI GERARDO </t>
  </si>
  <si>
    <t xml:space="preserve">PGSPOINT SRL       </t>
  </si>
  <si>
    <t xml:space="preserve">TEKNOPOINT SNC        </t>
  </si>
  <si>
    <t>ITEL STORE DI LANZOLLA GIOVANNI</t>
  </si>
  <si>
    <t>DISCOMANIA MIX DI PACIFICO RINALDO</t>
  </si>
  <si>
    <t>WHITE CITY REPAIR di PINTO ROSSANA</t>
  </si>
  <si>
    <t xml:space="preserve">A.G. TECHNOLOGY TRADE di ANDREA GARGANO </t>
  </si>
  <si>
    <t>NS.1638.0601NA.C0025 </t>
  </si>
  <si>
    <t xml:space="preserve">DE TOMMASO ANTONIO         </t>
  </si>
  <si>
    <t>NS.1638.0601NA.C0016</t>
  </si>
  <si>
    <t>NR.1217.0601NA.C0016</t>
  </si>
  <si>
    <t>HITECH S.R.L.S.</t>
  </si>
  <si>
    <t>CARTO-EDICOLA KEPLERO DI CITTO DANIEL</t>
  </si>
  <si>
    <t xml:space="preserve">INFOPOINT DI DEL VECCHIO ROSA E CORTIGIANO CARMELA </t>
  </si>
  <si>
    <t>ELETTROCCASIONE S.A.S. DI DE RUVO VINCENZO</t>
  </si>
  <si>
    <t>MILILLO GIUSEPPE</t>
  </si>
  <si>
    <t>GIACOMO ROSATO</t>
  </si>
  <si>
    <t>APULIATOURIST2.0</t>
  </si>
  <si>
    <t>Giacomo</t>
  </si>
  <si>
    <t>Raffaele</t>
  </si>
  <si>
    <t>NS.1638.0601NA.C0202</t>
  </si>
  <si>
    <t>NR.1217.0601NA.C0212</t>
  </si>
  <si>
    <t>5G STORE S.R.L.S</t>
  </si>
  <si>
    <t>NS.1638.0601NA.C0212</t>
  </si>
  <si>
    <t>Armando</t>
  </si>
  <si>
    <t>Contributo</t>
  </si>
  <si>
    <t>Tipo Ordine</t>
  </si>
  <si>
    <t>Canone</t>
  </si>
  <si>
    <t>Data Inserimento Ordine</t>
  </si>
  <si>
    <t>NR.1217.0601NA.C0217</t>
  </si>
  <si>
    <t>NR.1217.0601NA.C0213</t>
  </si>
  <si>
    <t>Chiuso</t>
  </si>
  <si>
    <t>NR.1217.0601NA.C0214</t>
  </si>
  <si>
    <t>NS.1638.0601NA.C0213</t>
  </si>
  <si>
    <t>FRANZOSO ANTONIO FERNANDO</t>
  </si>
  <si>
    <t>NS.1638.0601NA.C0214</t>
  </si>
  <si>
    <t>HOME VIDEO DI CARLA' ANTONIO</t>
  </si>
  <si>
    <t>ARTE FOTO SAS DI MARISA COLUCCELLI &amp; C.</t>
  </si>
  <si>
    <t>NR.1217.0601NA.C0215</t>
  </si>
  <si>
    <t>NS.1638.0601NA.C0215</t>
  </si>
  <si>
    <t>NR.1217.0601NA.C0216</t>
  </si>
  <si>
    <t>NS.1638.0601NA.C0216</t>
  </si>
  <si>
    <t>L OGIN SOLUTION</t>
  </si>
  <si>
    <t>NS.1638.0601NA.C0217</t>
  </si>
  <si>
    <t>MISTERJ DI COSIMO CASTANO</t>
  </si>
  <si>
    <t>NR.1217.0601NA.C0218</t>
  </si>
  <si>
    <t>NS.1638.0601NA.C0218</t>
  </si>
  <si>
    <t>NASTI TECHNO STORE DI NASTI PIETRO</t>
  </si>
  <si>
    <t>PGS MEGA STORE S.R.L.</t>
  </si>
  <si>
    <t>NR.1217.0601NA.C0219</t>
  </si>
  <si>
    <t>NS.1638.0601NA.C0219</t>
  </si>
  <si>
    <t>NR.1217.0601NA.C0220</t>
  </si>
  <si>
    <t>NS.1638.0601NA.C0220</t>
  </si>
  <si>
    <t>ITEL STORE CONSULTING DI CIMMARRUSTI</t>
  </si>
  <si>
    <t>Fastweb NeXXt One Casa</t>
  </si>
  <si>
    <t>Fastweb NeXXt One Business</t>
  </si>
  <si>
    <t>Luigi</t>
  </si>
  <si>
    <t>RISOLTO LAB MONOPOLI</t>
  </si>
  <si>
    <t>NR.1217.0601NA.C0221</t>
  </si>
  <si>
    <t>NS.1638.0601NA.C0221</t>
  </si>
  <si>
    <t>REPAIR MOBILE STORE DI CARMINE PALMIERI</t>
  </si>
  <si>
    <t>NR.1217.0601NA.C0222</t>
  </si>
  <si>
    <t>NS.1638.0601NA.C0222</t>
  </si>
  <si>
    <t>CF SMART TECHNOLOGY SRLS</t>
  </si>
  <si>
    <t>NR.1217.0601NA.C0223</t>
  </si>
  <si>
    <t>NS.1638.0601NA.C0223</t>
  </si>
  <si>
    <t>CASTIGLIEGO ADRIANA</t>
  </si>
  <si>
    <t>NR.1217.0601NA.C0224</t>
  </si>
  <si>
    <t>NS.1638.0601NA.C0224</t>
  </si>
  <si>
    <t>MUSIO EMANUELE</t>
  </si>
  <si>
    <t>NR.1217.0601NA.C0225</t>
  </si>
  <si>
    <t>NS.1638.0601NA.C0225</t>
  </si>
  <si>
    <t>DIGITAL TEO PHONE</t>
  </si>
  <si>
    <t>NR.1217.0601NA.C0226</t>
  </si>
  <si>
    <t>NS.1638.0601NA.C0226</t>
  </si>
  <si>
    <t xml:space="preserve">DOPPIO CLICK INFORMATICA &amp; FORNITURE DA UFFICIO DI GUIDI LUCA E BRUNO ANTONIO S.N.C. </t>
  </si>
  <si>
    <t>NR.1217.0601NA.C0227</t>
  </si>
  <si>
    <t>NS.1638.0601NA.C0227</t>
  </si>
  <si>
    <t>Mobile Business</t>
  </si>
  <si>
    <t>NR.1217.0601NA.C0229</t>
  </si>
  <si>
    <t>NS.1638.0601NA.C0229</t>
  </si>
  <si>
    <t>PHONE CENTER S.R.L.S</t>
  </si>
  <si>
    <t>CELLULAR POINT MANIA DI LOMBARDI CARMELO</t>
  </si>
  <si>
    <t>NR.1217.0601NA.C0230</t>
  </si>
  <si>
    <t>NS.1638.0601NA.C0230</t>
  </si>
  <si>
    <t>NR.1217.0601NA.C0231</t>
  </si>
  <si>
    <t>NS.1638.0601NA.C0231</t>
  </si>
  <si>
    <t>MEDIASERVICE DI PATRUNO MARCO</t>
  </si>
  <si>
    <t>DECOM</t>
  </si>
  <si>
    <t>NR.1217.0601NA.C0232</t>
  </si>
  <si>
    <t>NS.1638.0601NA.C0232</t>
  </si>
  <si>
    <t>AUDIO VIDEO CENTER DI GIOVANNIELLO DOMENICO</t>
  </si>
  <si>
    <t>NR.1217.0601NA.C0233</t>
  </si>
  <si>
    <t>NS.1638.0601NA.C0233</t>
  </si>
  <si>
    <t>MR. INFORMATICA</t>
  </si>
  <si>
    <t>NR.1217.0601NA.C0234</t>
  </si>
  <si>
    <t>NS.1638.0601NA.C0234</t>
  </si>
  <si>
    <t>REMIGIO NOCELLA</t>
  </si>
  <si>
    <t>NR.1217.0601NA.C0235</t>
  </si>
  <si>
    <t>NS.1638.0601NA.C0235</t>
  </si>
  <si>
    <t>PILOLLI STORE</t>
  </si>
  <si>
    <t>NR.1217.0601NA.C0236</t>
  </si>
  <si>
    <t>NS.1638.0601NA.C0236</t>
  </si>
  <si>
    <t>TRIGGIANO LAURA</t>
  </si>
  <si>
    <t>NR.1217.0601NA.C0237</t>
  </si>
  <si>
    <t>NS.1638.0601NA.C0237</t>
  </si>
  <si>
    <t>ELEKTRODOMOTIK di STIGLIANI PASQUALE</t>
  </si>
  <si>
    <t>NR.1217.0601NA.C0238</t>
  </si>
  <si>
    <t>NS.1638.0601NA.C0238</t>
  </si>
  <si>
    <t>NR.1217.0601NA.C0228</t>
  </si>
  <si>
    <t>NS.1638.0601NA.C0228</t>
  </si>
  <si>
    <t>MAIORANO DANILO</t>
  </si>
  <si>
    <t>x</t>
  </si>
  <si>
    <t>NR.1217.0601NA.C0239</t>
  </si>
  <si>
    <t>NS.1638.0601NA.C0239</t>
  </si>
  <si>
    <t>RESCINA SERVICE SRLS</t>
  </si>
  <si>
    <t>PIAZZA 23 DI ROBERTO RUSSO</t>
  </si>
  <si>
    <t>NR.1217.0601NA.C0240</t>
  </si>
  <si>
    <t>NS.1638.0601NA.C0240</t>
  </si>
  <si>
    <t>RAUSEO LUIGI</t>
  </si>
  <si>
    <t>NR.1217.0601NA.C0241</t>
  </si>
  <si>
    <t>NS.1638.0601NA.C0241</t>
  </si>
  <si>
    <t>PANDARESE ACHILLE</t>
  </si>
  <si>
    <t>NR.1217.0601NA.C0242</t>
  </si>
  <si>
    <t>NS.1638.0601NA.C0242</t>
  </si>
  <si>
    <t>FISSO E MOBILE</t>
  </si>
  <si>
    <t>SIMON GADALETA</t>
  </si>
  <si>
    <t>NR.1217.0601NA.C0244</t>
  </si>
  <si>
    <t>NS.1638.0601NA.C0244</t>
  </si>
  <si>
    <t xml:space="preserve">ELETTRONIC CENTER DI TROISIO GIUSEPPE           </t>
  </si>
  <si>
    <t>NR.1217.0601NA.C0243</t>
  </si>
  <si>
    <t>NS.1638.0601NA.C0243</t>
  </si>
  <si>
    <t>SMARTPHONE S.R.L.</t>
  </si>
  <si>
    <t>NR.1217.0601NA.C0245</t>
  </si>
  <si>
    <t>NS.1638.0601NA.C0245</t>
  </si>
  <si>
    <t>NR.1217.0601NA.C0247</t>
  </si>
  <si>
    <t>PARISI MARIO PIO</t>
  </si>
  <si>
    <t>NS.1638.0601NA.C0247</t>
  </si>
  <si>
    <t>NR.1217.0601NA.C0248</t>
  </si>
  <si>
    <t>MONDO TELEFONO 2.0 DI BORRINO GIANPIERO</t>
  </si>
  <si>
    <t>MONDO MUSICA DI SPINELLI FRANCESCO</t>
  </si>
  <si>
    <t>NR.1217.0601NA.C0249</t>
  </si>
  <si>
    <t>NS.1638.0601NA.C0249</t>
  </si>
  <si>
    <t>NS.1638.0601NA.C0248</t>
  </si>
  <si>
    <t>NR.1217.0601NA.C0250</t>
  </si>
  <si>
    <t>NS.1638.0601NA.C0250</t>
  </si>
  <si>
    <t>RENEWED S.R.L.</t>
  </si>
  <si>
    <t>NR.1217.0601NA.C0251</t>
  </si>
  <si>
    <t>NS.1638.0601NA.C0251</t>
  </si>
  <si>
    <t>TECNOLOGIT DI D'ALESSANDRO FRANCESCO</t>
  </si>
  <si>
    <t>LUCKY STAR S.R.L.S</t>
  </si>
  <si>
    <t>NR.1217.0601NA.C0252</t>
  </si>
  <si>
    <t>NS.1638.0601NA.C0252</t>
  </si>
  <si>
    <t>SWIPE UP</t>
  </si>
  <si>
    <t>NR.1217.0601NA.C0253</t>
  </si>
  <si>
    <t>NS.1638.0601NA.C0253</t>
  </si>
  <si>
    <t>D.M.G. DI NITTO MARIA GERARDA</t>
  </si>
  <si>
    <t>NR.1217.0601NA.C0254</t>
  </si>
  <si>
    <t>NS.1638.0601NA.C0254</t>
  </si>
  <si>
    <t>ELETTRONICA PIU' DI STEFANIA MICHELE</t>
  </si>
  <si>
    <t>NR.1217.0601NA.C0255</t>
  </si>
  <si>
    <t>NS.1638.0601NA.C0255</t>
  </si>
  <si>
    <t>Etichette di riga</t>
  </si>
  <si>
    <t>Totale complessivo</t>
  </si>
  <si>
    <t>(Tutto)</t>
  </si>
  <si>
    <t>PR COMPUTER DI PETRUCCI GIROLAMO</t>
  </si>
  <si>
    <t>NR.1217.0601NA.C0256</t>
  </si>
  <si>
    <t>NS.1638.0601NA.C0256</t>
  </si>
  <si>
    <t>DOPPIO CLICK INFORMATICA</t>
  </si>
  <si>
    <t>MANU IS LIFE SRL</t>
  </si>
  <si>
    <t>NR.1217.0601NA.C0257</t>
  </si>
  <si>
    <t>NS.1638.0601NA.C0257</t>
  </si>
  <si>
    <t>SOLUZIONI AMBIENTALI DI GENNARO MARTUSCIELLO</t>
  </si>
  <si>
    <t>NR.1217.0601NA.C0258</t>
  </si>
  <si>
    <t>NS.1638.0601NA.C0258</t>
  </si>
  <si>
    <t>S.I.P.R.A. ITALIA SAS DI LASALVIA M. &amp; MONTERISI G.</t>
  </si>
  <si>
    <t>NR.1217.0601NA.C0259</t>
  </si>
  <si>
    <t>NS.1638.0601NA.C0259</t>
  </si>
  <si>
    <t>NR.1217.0601NA.C0260</t>
  </si>
  <si>
    <t>NS.1638.0601NA.C0260</t>
  </si>
  <si>
    <t>CITY STORE UGO RABAUDI</t>
  </si>
  <si>
    <t>NR.1217.0601NA.C0246</t>
  </si>
  <si>
    <t>SURIV S.R.L</t>
  </si>
  <si>
    <t>NS.1638.0601NA.C0246</t>
  </si>
  <si>
    <t>BTG DI GIOVANNA GENTILESCA</t>
  </si>
  <si>
    <t>NR.1217.0601NA.C0261</t>
  </si>
  <si>
    <t>NS.1638.0601NA.C0261</t>
  </si>
  <si>
    <t>DIGITALSTORE DI CAMARDA CARLO</t>
  </si>
  <si>
    <t>NR.1217.0601NA.C0262</t>
  </si>
  <si>
    <t>NS.1638.0601NA.C0262</t>
  </si>
  <si>
    <t>NR.1217.0601NA.C0263</t>
  </si>
  <si>
    <t>NS.1638.0601NA.C0263</t>
  </si>
  <si>
    <t>MONDO INFORMATICA S.R.L.S</t>
  </si>
  <si>
    <t>NR.1217.0601NA.C0264</t>
  </si>
  <si>
    <t>NS.1638.0601NA.C0264</t>
  </si>
  <si>
    <t>ESSE.RRE UFFICIO</t>
  </si>
  <si>
    <t>ELETTROSTORE</t>
  </si>
  <si>
    <t>NR.1217.0601NA.C0265</t>
  </si>
  <si>
    <t>NS.1638.0601NA.C0265</t>
  </si>
  <si>
    <t>NR.1217.0601NA.C0266</t>
  </si>
  <si>
    <t>NS.1638.0601NA.C0266</t>
  </si>
  <si>
    <t>TELEFONIA SERVICE DI ANTONELLI MICHELE</t>
  </si>
  <si>
    <t>NR.1217.0601NA.C0267</t>
  </si>
  <si>
    <t>NS.1638.0601NA.C0267</t>
  </si>
  <si>
    <t>PLAYERONE DI GIANNOTTI SIMONA</t>
  </si>
  <si>
    <t>In Lavorazione</t>
  </si>
  <si>
    <t>NR.1217.0601NA.C0268</t>
  </si>
  <si>
    <t>NS.1638.0601NA.C0268</t>
  </si>
  <si>
    <t>VRT DI GIACOMO CAPODIVENTO</t>
  </si>
  <si>
    <t>NR.1217.0601NA.C0269</t>
  </si>
  <si>
    <t>NS.1638.0601NA.C0269</t>
  </si>
  <si>
    <t>EMPORIO DEL RISPARMIO DI GUIDONE VITO</t>
  </si>
  <si>
    <t>NR.1217.0601NA.C0270</t>
  </si>
  <si>
    <t>NS.1638.0601NA.C0270</t>
  </si>
  <si>
    <t>TECHNO STYLE SRLS</t>
  </si>
  <si>
    <t>Fastweb NeXXt Mobile Business Unlimited</t>
  </si>
  <si>
    <t>NR.1217.0601NA.C0271</t>
  </si>
  <si>
    <t>NS.1638.0601NA.C0271</t>
  </si>
  <si>
    <t>TKIAMO SRLS</t>
  </si>
  <si>
    <t>NR.1217.0601NA.C0272</t>
  </si>
  <si>
    <t>NS.1638.0601NA.C0272</t>
  </si>
  <si>
    <t>MOVIESTARS SRLS</t>
  </si>
  <si>
    <t>NR.1217.0601NA.C0273</t>
  </si>
  <si>
    <t>NS.1638.0601NA.C0273</t>
  </si>
  <si>
    <t>WINDMANIA</t>
  </si>
  <si>
    <t>NR.1217.0601NA.C0093</t>
  </si>
  <si>
    <t>NR.1217.0601NA.C0094</t>
  </si>
  <si>
    <t>NR.1217.0601NA.C0095</t>
  </si>
  <si>
    <t>AVENA PIETRO TV HI FI</t>
  </si>
  <si>
    <t>In attesa espletamento MNP</t>
  </si>
  <si>
    <t>NR.1217.0601NA.C0274</t>
  </si>
  <si>
    <t>NS.1638.0601NA.C0274</t>
  </si>
  <si>
    <t>PIGNATARO VITO</t>
  </si>
  <si>
    <t>NR.1217.0601NA.C0275</t>
  </si>
  <si>
    <t>NS.1638.0601NA.C0275</t>
  </si>
  <si>
    <t>VAPE SHOP MANDURIA S.R.L.S</t>
  </si>
  <si>
    <t>NR.1217.0601NA.C0276</t>
  </si>
  <si>
    <t>NS.1638.0601NA.C0276</t>
  </si>
  <si>
    <t>NR.1217.0601NA.C0277</t>
  </si>
  <si>
    <t>NS.1638.0601NA.C0277</t>
  </si>
  <si>
    <t>MAFFIA ORONZO</t>
  </si>
  <si>
    <t>VIDEOCALL S.R.S.</t>
  </si>
  <si>
    <t>VITO PIGNATARO</t>
  </si>
  <si>
    <t>POWER DI RAELI ANTONIO</t>
  </si>
  <si>
    <t>NR.1217.0601NA.C0278</t>
  </si>
  <si>
    <t>NS.1638.0601NA.C0278</t>
  </si>
  <si>
    <t>NR.1217.0601NA.C0279</t>
  </si>
  <si>
    <t>NS.1638.0601NA.C0279</t>
  </si>
  <si>
    <t>LUCA MUSCOGIURI</t>
  </si>
  <si>
    <t>MSCLCU01M05G187L</t>
  </si>
  <si>
    <t>OR-0030569249</t>
  </si>
  <si>
    <t>VALENTINA FLACE</t>
  </si>
  <si>
    <t>FLCVNT99C56E038P</t>
  </si>
  <si>
    <t>OR-0030569869</t>
  </si>
  <si>
    <t>LUCREZIA PAPARELLA</t>
  </si>
  <si>
    <t>PPRLRZ92P44E223X</t>
  </si>
  <si>
    <t>OR-0030571629</t>
  </si>
  <si>
    <t>CATALDO CAMPIONE</t>
  </si>
  <si>
    <t>CMPCLD87H10C983I</t>
  </si>
  <si>
    <t>OR-0030571024</t>
  </si>
  <si>
    <t>ALESSIA LUISA PIA SPLENDINO</t>
  </si>
  <si>
    <t>SPLLSL00B63I158H</t>
  </si>
  <si>
    <t>OR-0030563462</t>
  </si>
  <si>
    <t>DONATO D'AMBROSIO</t>
  </si>
  <si>
    <t>DMBDNT00L07I330Y</t>
  </si>
  <si>
    <t>OR-0030571386</t>
  </si>
  <si>
    <t>VITO LEPORE</t>
  </si>
  <si>
    <t>LPRVTI55R15A662G</t>
  </si>
  <si>
    <t>OR-0030570935</t>
  </si>
  <si>
    <t>DONATO IODICE</t>
  </si>
  <si>
    <t>DCIDNT65A15A669R</t>
  </si>
  <si>
    <t>OR-0030564885</t>
  </si>
  <si>
    <t>MARIA LUIGIA D'ARCANGELO</t>
  </si>
  <si>
    <t>DRCMLG85E45H096D</t>
  </si>
  <si>
    <t>OR-0030570247</t>
  </si>
  <si>
    <t>TOMMASO ALTAMURA</t>
  </si>
  <si>
    <t>LTMTMS78B16L109N</t>
  </si>
  <si>
    <t>OR-0030571096</t>
  </si>
  <si>
    <t>LEONARDO FERRARA</t>
  </si>
  <si>
    <t>FRRLRD93B24D508A</t>
  </si>
  <si>
    <t>OR-0030570086</t>
  </si>
  <si>
    <t>GIOVANNA SILLETTI</t>
  </si>
  <si>
    <t>SLLGNN57M52I330D</t>
  </si>
  <si>
    <t>OR-0030569708</t>
  </si>
  <si>
    <t>ASMAT PATSATSIA</t>
  </si>
  <si>
    <t>PTSSMT73S66Z254E</t>
  </si>
  <si>
    <t>OR-0030571116</t>
  </si>
  <si>
    <t>MARIA NATCHATHIRAM GNANA PRAKASAM</t>
  </si>
  <si>
    <t>GNNMNT83E60Z222S</t>
  </si>
  <si>
    <t>OR-0030571592</t>
  </si>
  <si>
    <t>STEFANO NICOLACI</t>
  </si>
  <si>
    <t>NCLSFN80H13Z112P</t>
  </si>
  <si>
    <t>OR-0030564674</t>
  </si>
  <si>
    <t>ENGJELLUSHE PASHOLLARI</t>
  </si>
  <si>
    <t>PSHNJL51B45Z100K</t>
  </si>
  <si>
    <t>OR-0030571241</t>
  </si>
  <si>
    <t>ALBERTO STABILITO</t>
  </si>
  <si>
    <t>STBLRT74P06I158K</t>
  </si>
  <si>
    <t>OR-0030571270</t>
  </si>
  <si>
    <t>MICHELE PASTORE</t>
  </si>
  <si>
    <t>PSTMHL99H02F027W</t>
  </si>
  <si>
    <t>OR-0030581685</t>
  </si>
  <si>
    <t>Attesa provisioning</t>
  </si>
  <si>
    <t>LORENZO MARIA DICKMANN</t>
  </si>
  <si>
    <t>DCKLNZ96P24F205B</t>
  </si>
  <si>
    <t>OR-0030582426</t>
  </si>
  <si>
    <t>CARLO ACHILLEA</t>
  </si>
  <si>
    <t>CHLCRL81C02G786J</t>
  </si>
  <si>
    <t>OR-0030577657</t>
  </si>
  <si>
    <t>VINCENZA CANTANNA</t>
  </si>
  <si>
    <t>CNTVCN63E46C741K</t>
  </si>
  <si>
    <t>OR-0030575865</t>
  </si>
  <si>
    <t>In attesa di approvazione</t>
  </si>
  <si>
    <t>Parcheggiato</t>
  </si>
  <si>
    <t>ALBA SCARANO</t>
  </si>
  <si>
    <t>SCRLBA99P44F027A</t>
  </si>
  <si>
    <t>OR-0030583156</t>
  </si>
  <si>
    <t>MICHELE COGNETTI</t>
  </si>
  <si>
    <t>CGNMHL06R15B619I</t>
  </si>
  <si>
    <t>OR-0030577854</t>
  </si>
  <si>
    <t>LUIGI ANGIONE</t>
  </si>
  <si>
    <t>NGNLGU80C03B619F</t>
  </si>
  <si>
    <t>OR-0030577539</t>
  </si>
  <si>
    <t>KATIA LABIANCA</t>
  </si>
  <si>
    <t>LBNKTA89M61B619J</t>
  </si>
  <si>
    <t>OR-0030578797</t>
  </si>
  <si>
    <t>SHPRESA ELMADHI</t>
  </si>
  <si>
    <t>LMDSPR99C68Z100R</t>
  </si>
  <si>
    <t>OR-0030582855</t>
  </si>
  <si>
    <t>COSIMO LIMA</t>
  </si>
  <si>
    <t>LMICSM71P02B619V</t>
  </si>
  <si>
    <t>OR-0030578388</t>
  </si>
  <si>
    <t>ANNA FUSARO</t>
  </si>
  <si>
    <t>FSRNNA53S67C978Q</t>
  </si>
  <si>
    <t>OR-0030576790</t>
  </si>
  <si>
    <t>ANNA NICOLINA LENTINI</t>
  </si>
  <si>
    <t>LNTNNC68S50G942N</t>
  </si>
  <si>
    <t>OR-0030582398</t>
  </si>
  <si>
    <t>DONATA ARRESTA</t>
  </si>
  <si>
    <t>RRSDNT47A41A612R</t>
  </si>
  <si>
    <t>OR-0030578329</t>
  </si>
  <si>
    <t>IMMACOLATA ALAGIA</t>
  </si>
  <si>
    <t>LGAMCL30D48G121G</t>
  </si>
  <si>
    <t>OR-0030581543</t>
  </si>
  <si>
    <t>LUIGI RUGGIERI</t>
  </si>
  <si>
    <t>RGGLGU81R23L049T</t>
  </si>
  <si>
    <t>OR-0030582744</t>
  </si>
  <si>
    <t>OR-0030582606</t>
  </si>
  <si>
    <t>VITO ANTONIO RACANELLI</t>
  </si>
  <si>
    <t>RCNVNT68T17A662P</t>
  </si>
  <si>
    <t>OR-0030575807</t>
  </si>
  <si>
    <t>GIORGIA LOVECCHIO</t>
  </si>
  <si>
    <t>LVCGRG06H65B180Z</t>
  </si>
  <si>
    <t>OR-0030576084</t>
  </si>
  <si>
    <t>SANTE RUBINO</t>
  </si>
  <si>
    <t>RBNSNT72S15A662B</t>
  </si>
  <si>
    <t>OR-0030583038</t>
  </si>
  <si>
    <t>OLHA RADCHENKO</t>
  </si>
  <si>
    <t>RDCLHO86E44Z138W</t>
  </si>
  <si>
    <t>OR-0030591729</t>
  </si>
  <si>
    <t>LUCILLA MARTINELLI</t>
  </si>
  <si>
    <t>MRTLLL98M58B619C</t>
  </si>
  <si>
    <t>OR-0030587007</t>
  </si>
  <si>
    <t>FRANCESCA MARIA ABBATTISTA</t>
  </si>
  <si>
    <t>BBTFNC91E47L328D</t>
  </si>
  <si>
    <t>OR-0030596414</t>
  </si>
  <si>
    <t>CINZIA GIOVANNA MASTRODONATO</t>
  </si>
  <si>
    <t>MSTCZG85R45B619M</t>
  </si>
  <si>
    <t>OR-0030590069</t>
  </si>
  <si>
    <t>ANTONIA MARIA LUNGU</t>
  </si>
  <si>
    <t>LNGNNM01L51Z129G</t>
  </si>
  <si>
    <t>OR-0030595607</t>
  </si>
  <si>
    <t>MAIKOL BEVILACQUA</t>
  </si>
  <si>
    <t>BVLMKL02A02L628C</t>
  </si>
  <si>
    <t>OR-0030587158</t>
  </si>
  <si>
    <t>VITO LASSANDRO</t>
  </si>
  <si>
    <t>LSSVTI87L09A048W</t>
  </si>
  <si>
    <t>OR-0030591664</t>
  </si>
  <si>
    <t>DONATO TOZZA</t>
  </si>
  <si>
    <t>TZZDNT47D27E483S</t>
  </si>
  <si>
    <t>OR-0030596986</t>
  </si>
  <si>
    <t>MARIA ROSARIA ALEMANNO</t>
  </si>
  <si>
    <t>LMNMRS63R48C978Q</t>
  </si>
  <si>
    <t>OR-0030596655</t>
  </si>
  <si>
    <t>FRANCA MODARELLI</t>
  </si>
  <si>
    <t>MDRFNC64D58C888Y</t>
  </si>
  <si>
    <t>OR-0030588107</t>
  </si>
  <si>
    <t>TOMMASO OROFINO</t>
  </si>
  <si>
    <t>RFNTMS58C04B923Y</t>
  </si>
  <si>
    <t>OR-0030586890</t>
  </si>
  <si>
    <t>GRAZIA BOLOGNA</t>
  </si>
  <si>
    <t>BLGGRZ63E48B619X</t>
  </si>
  <si>
    <t>OR-0030597424</t>
  </si>
  <si>
    <t>CIRO GARGIULO</t>
  </si>
  <si>
    <t>GRGCRI69R24F839A</t>
  </si>
  <si>
    <t>OR-0030592119</t>
  </si>
  <si>
    <t>STEFANO DIGIROLAMO</t>
  </si>
  <si>
    <t>DGRSFN61R19I330A</t>
  </si>
  <si>
    <t>OR-0030597353</t>
  </si>
  <si>
    <t>PAOLINA GIUSEPPINA BRUNETTI</t>
  </si>
  <si>
    <t>BRNPNG41B50E038R</t>
  </si>
  <si>
    <t>OR-0030591916</t>
  </si>
  <si>
    <t>OR-0030586302</t>
  </si>
  <si>
    <t>VITO COSIMO BARBERIO</t>
  </si>
  <si>
    <t>BRBVCS77E18F052A</t>
  </si>
  <si>
    <t>OR-0030596777</t>
  </si>
  <si>
    <t>GESSICA DANIELI</t>
  </si>
  <si>
    <t>DNLGSC80A51F842Y</t>
  </si>
  <si>
    <t>OR-0030596000</t>
  </si>
  <si>
    <t>GIACOMO LEO</t>
  </si>
  <si>
    <t>LEOGCM91R20Z112C</t>
  </si>
  <si>
    <t>OR-0030596830</t>
  </si>
  <si>
    <t>GIOVANNA TATONE</t>
  </si>
  <si>
    <t>TTNGNN83C41A662T</t>
  </si>
  <si>
    <t>OR-0030623342</t>
  </si>
  <si>
    <t>MICHELE RICCIARDI</t>
  </si>
  <si>
    <t>RCCMHL59E14E946K</t>
  </si>
  <si>
    <t>OR-0030610673</t>
  </si>
  <si>
    <t>FRANCESCA DISTEFANO</t>
  </si>
  <si>
    <t>DSTFNC72R71C514V</t>
  </si>
  <si>
    <t>OR-0030620527</t>
  </si>
  <si>
    <t>VINCENZO GERRI</t>
  </si>
  <si>
    <t>GRRVCN81A05A048H</t>
  </si>
  <si>
    <t>OR-0030623059</t>
  </si>
  <si>
    <t>RAFFAELE COLONNA</t>
  </si>
  <si>
    <t>CLNRFL76E07A662W</t>
  </si>
  <si>
    <t>OR-0030610770</t>
  </si>
  <si>
    <t>MARIA ASSUNTA CIAVARELLA</t>
  </si>
  <si>
    <t>CVRMSS72E50Z133P</t>
  </si>
  <si>
    <t>OR-0030620692</t>
  </si>
  <si>
    <t>VIRGINIA MAROTTA</t>
  </si>
  <si>
    <t>MRTVGN05S57A662I</t>
  </si>
  <si>
    <t>OR-0030614312</t>
  </si>
  <si>
    <t>SARINA DE ICCO</t>
  </si>
  <si>
    <t>DCCSRN75B62B936W</t>
  </si>
  <si>
    <t>OR-0030609674</t>
  </si>
  <si>
    <t>NICCOLO PELLEGRINI</t>
  </si>
  <si>
    <t>PLLNCL99A03B619T</t>
  </si>
  <si>
    <t>OR-0030620264</t>
  </si>
  <si>
    <t>GIUSEPPINA DE GIGLIO</t>
  </si>
  <si>
    <t>DGGGPP65S42A662P</t>
  </si>
  <si>
    <t>OR-0030623086</t>
  </si>
  <si>
    <t>VINCENZO TENACE</t>
  </si>
  <si>
    <t>TNCVCN73H22I158R</t>
  </si>
  <si>
    <t>OR-0030615432</t>
  </si>
  <si>
    <t>LEANDRO DAMIAN ALMEYRA VENA</t>
  </si>
  <si>
    <t>LMYLDR01B28Z600J</t>
  </si>
  <si>
    <t>OR-0030622173</t>
  </si>
  <si>
    <t>ELISABETTA PAPPALEPORE</t>
  </si>
  <si>
    <t>PPPLBT57H54A662Y</t>
  </si>
  <si>
    <t>OR-0030613197</t>
  </si>
  <si>
    <t>MICHELE TASSIELLO</t>
  </si>
  <si>
    <t>TSSMHL52L12I053A</t>
  </si>
  <si>
    <t>OR-0030623439</t>
  </si>
  <si>
    <t>FAITH MAFORO</t>
  </si>
  <si>
    <t>MFRFTH85A42Z337N</t>
  </si>
  <si>
    <t>OR-0030610531</t>
  </si>
  <si>
    <t>ANTONIO SASSO</t>
  </si>
  <si>
    <t>SSSNTN74C05I158X</t>
  </si>
  <si>
    <t>OR-0030615402</t>
  </si>
  <si>
    <t>ELISABETTA ANNA DI GIORGIO</t>
  </si>
  <si>
    <t>DGRLBT92R42D643Q</t>
  </si>
  <si>
    <t>OR-0030615959</t>
  </si>
  <si>
    <t>Fastweb Mobile Unlimited</t>
  </si>
  <si>
    <t>FRANCESCA MILANO</t>
  </si>
  <si>
    <t>MLNFNC77P66E038V</t>
  </si>
  <si>
    <t>OR-0030605692</t>
  </si>
  <si>
    <t>STEFANO PENNETTA</t>
  </si>
  <si>
    <t>PNNSFN65B05L064K</t>
  </si>
  <si>
    <t>OR-0030620022</t>
  </si>
  <si>
    <t>FRANCESCO BALZANO</t>
  </si>
  <si>
    <t>BLZFNC87H26Z112W</t>
  </si>
  <si>
    <t>OR-0030622794</t>
  </si>
  <si>
    <t>ADDOLORATA MASSAFRA</t>
  </si>
  <si>
    <t>MSSDLR52L51E986O</t>
  </si>
  <si>
    <t>OR-0030613989</t>
  </si>
  <si>
    <t>CAMILLA BELLOMO</t>
  </si>
  <si>
    <t>BLLCLL75M57A048O</t>
  </si>
  <si>
    <t>OR-0030619534</t>
  </si>
  <si>
    <t>LETIZIA DORA PAOLA PACE</t>
  </si>
  <si>
    <t>PCALZD52M54H501G</t>
  </si>
  <si>
    <t>OR-0030614252</t>
  </si>
  <si>
    <t>SHAPON SARKER</t>
  </si>
  <si>
    <t>SRKSPN95P21Z249V</t>
  </si>
  <si>
    <t>OR-0030609978</t>
  </si>
  <si>
    <t>NICOLETTA DACHILLE</t>
  </si>
  <si>
    <t>DCHNLT82S45E223A</t>
  </si>
  <si>
    <t>OR-0030600934</t>
  </si>
  <si>
    <t>ANTONIO GRILLO</t>
  </si>
  <si>
    <t>GRLNTN84M14B619J</t>
  </si>
  <si>
    <t>OR-0030614710</t>
  </si>
  <si>
    <t>MARIA GIOVANNA STELLACCI</t>
  </si>
  <si>
    <t>STLMGV63A56A669I</t>
  </si>
  <si>
    <t>OR-0030610759</t>
  </si>
  <si>
    <t>ANTONIO PAMPO</t>
  </si>
  <si>
    <t>PMPNTN90D20D862S</t>
  </si>
  <si>
    <t>OR-0030619119</t>
  </si>
  <si>
    <t>NICOLA DI LASCIO</t>
  </si>
  <si>
    <t>DLSNCL77R31E919L</t>
  </si>
  <si>
    <t>OR-0030602817</t>
  </si>
  <si>
    <t>GIORGIO PICCA</t>
  </si>
  <si>
    <t>PCCGRG86D16A662A</t>
  </si>
  <si>
    <t>OR-0030603657</t>
  </si>
  <si>
    <t>NUNZIA TRENTADUE</t>
  </si>
  <si>
    <t>TRNNNZ05E63C134V</t>
  </si>
  <si>
    <t>OR-0030613567</t>
  </si>
  <si>
    <t>ALAGIE BAH</t>
  </si>
  <si>
    <t>BHALGA91C05Z317U</t>
  </si>
  <si>
    <t>OR-0030610458</t>
  </si>
  <si>
    <t>RUGGIERO D'AMBROSIO</t>
  </si>
  <si>
    <t>DMBRGR84M16C514U</t>
  </si>
  <si>
    <t>OR-0030610859</t>
  </si>
  <si>
    <t>OR-0030622963</t>
  </si>
  <si>
    <t>ANGELA ROSA MILANO</t>
  </si>
  <si>
    <t>MLNNLR59B60A048G</t>
  </si>
  <si>
    <t>OR-0030619492</t>
  </si>
  <si>
    <t>BRUNO SERRONE</t>
  </si>
  <si>
    <t>SRRBRN74E23G942E</t>
  </si>
  <si>
    <t>OR-0030602224</t>
  </si>
  <si>
    <t>FRANCESCO MONTRONE</t>
  </si>
  <si>
    <t>MNTFNC87R05L219B</t>
  </si>
  <si>
    <t>OR-0030614516</t>
  </si>
  <si>
    <t>VITO DESANTIS</t>
  </si>
  <si>
    <t>DSNVTI77E26A048G</t>
  </si>
  <si>
    <t>OR-0030610666</t>
  </si>
  <si>
    <t>ROSA ANNAMARIA SARACCO</t>
  </si>
  <si>
    <t>SRCRNN57P49H277M</t>
  </si>
  <si>
    <t>OR-0030615359</t>
  </si>
  <si>
    <t>ROSA MASTROSERIO</t>
  </si>
  <si>
    <t>MSTRSO76H53E223H</t>
  </si>
  <si>
    <t>OR-0030619123</t>
  </si>
  <si>
    <t>MARTINA CEGLIA</t>
  </si>
  <si>
    <t>CGLMTN04E51B619H</t>
  </si>
  <si>
    <t>OR-0030609568</t>
  </si>
  <si>
    <t>FENG XIE</t>
  </si>
  <si>
    <t>XIEFNG85M13Z210Z</t>
  </si>
  <si>
    <t>OR-0030614552</t>
  </si>
  <si>
    <t>GIOVANNI STEFANO MICHELE</t>
  </si>
  <si>
    <t>MCHGNN98C16G791C</t>
  </si>
  <si>
    <t>OR-0030602890</t>
  </si>
  <si>
    <t>GIUSEPPE TAFUNO</t>
  </si>
  <si>
    <t>TFNGPP38H19A225H</t>
  </si>
  <si>
    <t>OR-0030619553</t>
  </si>
  <si>
    <t>Inviato in Fatturazione</t>
  </si>
  <si>
    <t>PRUDENZA DI TURI</t>
  </si>
  <si>
    <t>DTRPDN48R69I053M</t>
  </si>
  <si>
    <t>OR-0030620641</t>
  </si>
  <si>
    <t>MARIA SANTA MARIANI</t>
  </si>
  <si>
    <t>MRNMSN68L56C436M</t>
  </si>
  <si>
    <t>OR-0030640016</t>
  </si>
  <si>
    <t>LUCIA BINO</t>
  </si>
  <si>
    <t>BNILCU90A57L049T</t>
  </si>
  <si>
    <t>OR-0030640456</t>
  </si>
  <si>
    <t>FEDERICA CONIGLIO</t>
  </si>
  <si>
    <t>CNGFRC98H42A662Z</t>
  </si>
  <si>
    <t>OR-0030639003</t>
  </si>
  <si>
    <t>ALBERTO SERIO</t>
  </si>
  <si>
    <t>SRELRT90A28I119T</t>
  </si>
  <si>
    <t>OR-0030634860</t>
  </si>
  <si>
    <t>HICHAM SAMSAM</t>
  </si>
  <si>
    <t>SMSHHM84A01Z330C</t>
  </si>
  <si>
    <t>OR-0030640753</t>
  </si>
  <si>
    <t>MICHAEL DURANTE</t>
  </si>
  <si>
    <t>DRNMHL00R20B506V</t>
  </si>
  <si>
    <t>OR-0030638319</t>
  </si>
  <si>
    <t>LEONARDO BIRARDI MAZZONE</t>
  </si>
  <si>
    <t>BRRLRD54S14B923N</t>
  </si>
  <si>
    <t>OR-0030632341</t>
  </si>
  <si>
    <t>VALERIA CORDOVA</t>
  </si>
  <si>
    <t>CRDVLR89E47B619L</t>
  </si>
  <si>
    <t>OR-0030640913</t>
  </si>
  <si>
    <t>LEONARDO BALENZANO</t>
  </si>
  <si>
    <t>BLNLRD74S19A048C</t>
  </si>
  <si>
    <t>OR-0030640217</t>
  </si>
  <si>
    <t>SEVERINO D ERRICO</t>
  </si>
  <si>
    <t>DRRSRN83R02I158I</t>
  </si>
  <si>
    <t>OR-0030633126</t>
  </si>
  <si>
    <t>ROSALBA RICCIARDELLA</t>
  </si>
  <si>
    <t>RCCRLB87E66L418D</t>
  </si>
  <si>
    <t>OR-0030640772</t>
  </si>
  <si>
    <t>DOMENICA GUARINI</t>
  </si>
  <si>
    <t>GRNDNC59E43A048N</t>
  </si>
  <si>
    <t>OR-0030629979</t>
  </si>
  <si>
    <t>ANGELA CURALLI</t>
  </si>
  <si>
    <t>CRLNGL85P64A662D</t>
  </si>
  <si>
    <t>OR-0030634457</t>
  </si>
  <si>
    <t>FRANCA BRESCIA</t>
  </si>
  <si>
    <t>BRSFNC69A49Z133L</t>
  </si>
  <si>
    <t>OR-0030631655</t>
  </si>
  <si>
    <t>NADIA FALCO</t>
  </si>
  <si>
    <t>FLCNDA79D54E409A</t>
  </si>
  <si>
    <t>OR-0030639478</t>
  </si>
  <si>
    <t>FRANCESCO PUTIGNANO</t>
  </si>
  <si>
    <t>PTGFNC50E22I330I</t>
  </si>
  <si>
    <t>OR-0030638381</t>
  </si>
  <si>
    <t>FABRIZIO RICCHIUTI</t>
  </si>
  <si>
    <t>RCCFRZ72L10B810W</t>
  </si>
  <si>
    <t>OR-0030630193</t>
  </si>
  <si>
    <t>PINEAPPLE</t>
  </si>
  <si>
    <t>09064000723</t>
  </si>
  <si>
    <t>OR-0030650638</t>
  </si>
  <si>
    <t>SABATINA MUCCILLI</t>
  </si>
  <si>
    <t>MCCSTN49P54F220O</t>
  </si>
  <si>
    <t>OR-0030654535</t>
  </si>
  <si>
    <t>TEODORO IPPOLITO</t>
  </si>
  <si>
    <t>PPLTDR58H20A463Y</t>
  </si>
  <si>
    <t>OR-0030654813</t>
  </si>
  <si>
    <t>ALDA COLELLA</t>
  </si>
  <si>
    <t>CLLLDA80L50B774X</t>
  </si>
  <si>
    <t>OR-0030653571</t>
  </si>
  <si>
    <t>ORONZO LEONE</t>
  </si>
  <si>
    <t>LNERNZ86S30I330S</t>
  </si>
  <si>
    <t>OR-0030648117</t>
  </si>
  <si>
    <t>MICHELE ANNESE</t>
  </si>
  <si>
    <t>NNSMHL67T07C514H</t>
  </si>
  <si>
    <t>OR-0030654051</t>
  </si>
  <si>
    <t>OR-0030654904</t>
  </si>
  <si>
    <t>PIETRO BENEDETTO</t>
  </si>
  <si>
    <t>BNDPTR73L26F923M</t>
  </si>
  <si>
    <t>OR-0030648015</t>
  </si>
  <si>
    <t>GIUSEPPINA BITETTI</t>
  </si>
  <si>
    <t>BTTGPP79A52I330J</t>
  </si>
  <si>
    <t>OR-0030648966</t>
  </si>
  <si>
    <t>GELSOMINA GIANSANTI</t>
  </si>
  <si>
    <t>GNSGSM85B66F262G</t>
  </si>
  <si>
    <t>OR-0030649263</t>
  </si>
  <si>
    <t>GIOVANNI RAGNO</t>
  </si>
  <si>
    <t>RGNGNN81P13A669Q</t>
  </si>
  <si>
    <t>OR-0030654138</t>
  </si>
  <si>
    <t>DOMENICO MITE</t>
  </si>
  <si>
    <t>MTIDNC41L04E155W</t>
  </si>
  <si>
    <t>OR-0030648855</t>
  </si>
  <si>
    <t>MATTEO LASTELLA</t>
  </si>
  <si>
    <t>LSTMTT52A06C514H</t>
  </si>
  <si>
    <t>OR-0030651208</t>
  </si>
  <si>
    <t>FRANCESCO MASSARO</t>
  </si>
  <si>
    <t>MSSFNC80M16A048W</t>
  </si>
  <si>
    <t>OR-0030659976</t>
  </si>
  <si>
    <t>FRANCESCO GIANNONE</t>
  </si>
  <si>
    <t>GNNFNC66M18B619Q</t>
  </si>
  <si>
    <t>OR-0030658731</t>
  </si>
  <si>
    <t>MATTEO ELIA CAPUTO</t>
  </si>
  <si>
    <t>CPTMTL97A21H926R</t>
  </si>
  <si>
    <t>OR-0030667367</t>
  </si>
  <si>
    <t>DOMENICO GARRIPOLI</t>
  </si>
  <si>
    <t>GRRDNC71S01L738P</t>
  </si>
  <si>
    <t>OR-0030667601</t>
  </si>
  <si>
    <t>SANDRO TEDONE</t>
  </si>
  <si>
    <t>TDNSDR79H21C514T</t>
  </si>
  <si>
    <t>OR-0030666630</t>
  </si>
  <si>
    <t>ENZO RATTA</t>
  </si>
  <si>
    <t>RTTNZE77M10C978S</t>
  </si>
  <si>
    <t>OR-0030667735</t>
  </si>
  <si>
    <t>PAMELA VITULLO</t>
  </si>
  <si>
    <t>VTLPML71C44C514I</t>
  </si>
  <si>
    <t>OR-0030667633</t>
  </si>
  <si>
    <t>FRANCESCO MICUCCI</t>
  </si>
  <si>
    <t>MCCFNC81P28F280L</t>
  </si>
  <si>
    <t>OR-0030660920</t>
  </si>
  <si>
    <t>SALVATORE PETRUZZELLI</t>
  </si>
  <si>
    <t>PTRSVT78L17L874O</t>
  </si>
  <si>
    <t>OR-0030660510</t>
  </si>
  <si>
    <t>FRANCESCO LATTANZIO</t>
  </si>
  <si>
    <t>LTTFNC57B12B915W</t>
  </si>
  <si>
    <t>OR-0030667859</t>
  </si>
  <si>
    <t>GIUSEPPE BASILE</t>
  </si>
  <si>
    <t>BSLGPP87B07C983X</t>
  </si>
  <si>
    <t>OR-0030667650</t>
  </si>
  <si>
    <t>LUCIA DE CIRO</t>
  </si>
  <si>
    <t>DCRLCU48M67C134V</t>
  </si>
  <si>
    <t>OR-0030667029</t>
  </si>
  <si>
    <t>MANUELE PENZA</t>
  </si>
  <si>
    <t>PNZMNL06M12M289D</t>
  </si>
  <si>
    <t>OR-0030667580</t>
  </si>
  <si>
    <t>LORENZO PIRAS</t>
  </si>
  <si>
    <t>PRSLNZ06D22B791G</t>
  </si>
  <si>
    <t>OR-0030663235</t>
  </si>
  <si>
    <t>Fastweb NeXXt One Casa FWA</t>
  </si>
  <si>
    <t>DONATELLA DELL'ANNA</t>
  </si>
  <si>
    <t>DLLDTL93C64E506W</t>
  </si>
  <si>
    <t>OR-0030679070</t>
  </si>
  <si>
    <t>ROSARIO PIO COLANGIONE</t>
  </si>
  <si>
    <t>CLNRRP87A13C514G</t>
  </si>
  <si>
    <t>OR-0030679122</t>
  </si>
  <si>
    <t>MARIA DEL VECCHIO</t>
  </si>
  <si>
    <t>DLVMRA69S67I158J</t>
  </si>
  <si>
    <t>OR-0030678573</t>
  </si>
  <si>
    <t>RAFFAELE PORFIDO</t>
  </si>
  <si>
    <t>PRFRFL00H13I330P</t>
  </si>
  <si>
    <t>OR-0030678177</t>
  </si>
  <si>
    <t>RAIMON CELESTIN ALEXANDRU</t>
  </si>
  <si>
    <t>LXNRNC00L07Z129A</t>
  </si>
  <si>
    <t>OR-0030671928</t>
  </si>
  <si>
    <t>MARCELLO GIUSEPPE MARCUCCI</t>
  </si>
  <si>
    <t>MRCMCL59A27C978D</t>
  </si>
  <si>
    <t>OR-0030678264</t>
  </si>
  <si>
    <t>KATIA MURANO</t>
  </si>
  <si>
    <t>MRNKTA03D46B619R</t>
  </si>
  <si>
    <t>OR-0030679045</t>
  </si>
  <si>
    <t>ROBERTA PLADINI</t>
  </si>
  <si>
    <t>PLDRRT80T46C978K</t>
  </si>
  <si>
    <t>OR-0030671871</t>
  </si>
  <si>
    <t>COSIMA PASSIATORE</t>
  </si>
  <si>
    <t>PSSCSM52L50F376O</t>
  </si>
  <si>
    <t>OR-0030677322</t>
  </si>
  <si>
    <t>ALESSANDRO PULIERI</t>
  </si>
  <si>
    <t>PLRLSN76M31E243S</t>
  </si>
  <si>
    <t>OR-0030678948</t>
  </si>
  <si>
    <t>ANNA CHIARA FRISENDA</t>
  </si>
  <si>
    <t>FRSNCH93D41D862F</t>
  </si>
  <si>
    <t>OR-0030678932</t>
  </si>
  <si>
    <t>GIUSEPPINA SCHETTINO</t>
  </si>
  <si>
    <t>SCHGPP72C48A801R</t>
  </si>
  <si>
    <t>OR-0030672624</t>
  </si>
  <si>
    <t>NICOLA PAGLIARULO</t>
  </si>
  <si>
    <t>PGLNCL54E29H643U</t>
  </si>
  <si>
    <t>OR-0030677309</t>
  </si>
  <si>
    <t>GIUSEPPE FEDERICI</t>
  </si>
  <si>
    <t>FDRGPP55P22G942I</t>
  </si>
  <si>
    <t>OR-0030671653</t>
  </si>
  <si>
    <t>VITANTONIO LEONE</t>
  </si>
  <si>
    <t>LNEVNT52B15E946D</t>
  </si>
  <si>
    <t>OR-0030672025</t>
  </si>
  <si>
    <t>AF ENTERPRISE S.R.L.</t>
  </si>
  <si>
    <t>05185180758</t>
  </si>
  <si>
    <t>OR-0030673734</t>
  </si>
  <si>
    <t>MICAELA BERNARDI</t>
  </si>
  <si>
    <t>BRNMCL85E46E205J</t>
  </si>
  <si>
    <t>OR-0030678095</t>
  </si>
  <si>
    <t>MARIAGRAZIA PARADISO</t>
  </si>
  <si>
    <t>PRDMGR88C58E038Y</t>
  </si>
  <si>
    <t>OR-0030682786</t>
  </si>
  <si>
    <t>CATERINA MIRI</t>
  </si>
  <si>
    <t>MRICRN73L67C978R</t>
  </si>
  <si>
    <t>OR-0030687594</t>
  </si>
  <si>
    <t>POTITO FRONTUTO</t>
  </si>
  <si>
    <t>FRNPTT81L17D643N</t>
  </si>
  <si>
    <t>OR-0030687255</t>
  </si>
  <si>
    <t>CARMELA MONACO</t>
  </si>
  <si>
    <t>MNCCML95P45F784W</t>
  </si>
  <si>
    <t>OR-0030687486</t>
  </si>
  <si>
    <t>TIZIANA RUSSO</t>
  </si>
  <si>
    <t>RSSTZN90P67H926D</t>
  </si>
  <si>
    <t>OR-0030687741</t>
  </si>
  <si>
    <t>CATERINA SCHITTULLI</t>
  </si>
  <si>
    <t>SCHCRN60L62G131P</t>
  </si>
  <si>
    <t>OR-0030681663</t>
  </si>
  <si>
    <t>MICHELE MACARIO</t>
  </si>
  <si>
    <t>MCRMHL87D14C514G</t>
  </si>
  <si>
    <t>OR-0030682770</t>
  </si>
  <si>
    <t>ROSANNA MAZZARELLA</t>
  </si>
  <si>
    <t>MZZRNN66S68C514R</t>
  </si>
  <si>
    <t>OR-0030687519</t>
  </si>
  <si>
    <t>ALBERTO TRAMACERE</t>
  </si>
  <si>
    <t>TRMLRT01E06D862Q</t>
  </si>
  <si>
    <t>OR-0030687834</t>
  </si>
  <si>
    <t>ALESSANDRO LAMARINA</t>
  </si>
  <si>
    <t>LMRLSN80B19B180H</t>
  </si>
  <si>
    <t>OR-0030687075</t>
  </si>
  <si>
    <t>PIETRO ANTONIO CHIMIENTI</t>
  </si>
  <si>
    <t>CHMPRN66D11E882B</t>
  </si>
  <si>
    <t>OR-0030683555</t>
  </si>
  <si>
    <t>SAVERIO POLI</t>
  </si>
  <si>
    <t>PLOSVR75L25C975Y</t>
  </si>
  <si>
    <t>OR-0030687945</t>
  </si>
  <si>
    <t>PAOLO MICIA</t>
  </si>
  <si>
    <t>MCIPLA81H17D862Q</t>
  </si>
  <si>
    <t>OR-0030683616</t>
  </si>
  <si>
    <t>CECILIA DE GIULIO</t>
  </si>
  <si>
    <t>DGLCCL47M66A048K</t>
  </si>
  <si>
    <t>OR-0030681962</t>
  </si>
  <si>
    <t>FABRIZIO BASSO</t>
  </si>
  <si>
    <t>BSSFRZ88L06C978H</t>
  </si>
  <si>
    <t>OR-0030687946</t>
  </si>
  <si>
    <t>MARINELLI VINCENZO</t>
  </si>
  <si>
    <t>02344010711</t>
  </si>
  <si>
    <t>OR-0030683252</t>
  </si>
  <si>
    <t>GIUSEPPE RICCO</t>
  </si>
  <si>
    <t>RCCGPP55T16A662J</t>
  </si>
  <si>
    <t>OR-0030691135</t>
  </si>
  <si>
    <t>MICHELA POLICASTRO</t>
  </si>
  <si>
    <t>PLCMHL90T55H501C</t>
  </si>
  <si>
    <t>OR-0030690082</t>
  </si>
  <si>
    <t>COSIMO MURCIANO</t>
  </si>
  <si>
    <t>MRCCSM85E09C978N</t>
  </si>
  <si>
    <t>OR-0030694182</t>
  </si>
  <si>
    <t>MARIA TERESA AFANO</t>
  </si>
  <si>
    <t>FNAMTR90M62B963Z</t>
  </si>
  <si>
    <t>OR-0030690367</t>
  </si>
  <si>
    <t>PASQUALE RIZZO</t>
  </si>
  <si>
    <t>RZZPQL55T13G251O</t>
  </si>
  <si>
    <t>OR-0030690992</t>
  </si>
  <si>
    <t>LOREDANA DURANTE</t>
  </si>
  <si>
    <t>DRNLDN87R57C619O</t>
  </si>
  <si>
    <t>OR-0030691414</t>
  </si>
  <si>
    <t>SERAFINA MARZULLI</t>
  </si>
  <si>
    <t>MRZSFN32A58A662G</t>
  </si>
  <si>
    <t>OR-0030690844</t>
  </si>
  <si>
    <t>VITO MODESTO COPPOLA</t>
  </si>
  <si>
    <t>CPPVMD87R09A509Y</t>
  </si>
  <si>
    <t>OR-0030694010</t>
  </si>
  <si>
    <t>MONICA CESIRA FLORIO</t>
  </si>
  <si>
    <t>FLRMCC79A41A801X</t>
  </si>
  <si>
    <t>OR-0030693739</t>
  </si>
  <si>
    <t>RAFFAELE PISTILLI</t>
  </si>
  <si>
    <t>PSTRFL81A24A048C</t>
  </si>
  <si>
    <t>OR-0030691226</t>
  </si>
  <si>
    <t>FRANCESCO LOVERRE</t>
  </si>
  <si>
    <t>LVRFNC87P16E038C</t>
  </si>
  <si>
    <t>OR-0030690656</t>
  </si>
  <si>
    <t>FRANCESCO PAOLO LATRONICO</t>
  </si>
  <si>
    <t>LTRFNC69C05I610V</t>
  </si>
  <si>
    <t>OR-0030694206</t>
  </si>
  <si>
    <t>Rifiutato MNP-IN</t>
  </si>
  <si>
    <t>MICHELE BARILE</t>
  </si>
  <si>
    <t>BRLMHL73L19F817T</t>
  </si>
  <si>
    <t>OR-0030693879</t>
  </si>
  <si>
    <t>VINCENZO ANTONIO FASANELLA</t>
  </si>
  <si>
    <t>FSNVCN73B28G487P</t>
  </si>
  <si>
    <t>OR-0030690914</t>
  </si>
  <si>
    <t>LUCREZIA MASTROMATTEO</t>
  </si>
  <si>
    <t>MSTLRZ71C58G487Z</t>
  </si>
  <si>
    <t>OR-0030691162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</si>
</sst>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363636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theme="5" tint="0.59999389629810485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4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22" fillId="0" borderId="0"/>
    <xf numFmtId="0" fontId="22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</cellStyleXfs>
  <cellXfs count="4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10" xfId="0" applyBorder="1"/>
    <xf numFmtId="0" fontId="0" fillId="33" borderId="0" xfId="0" applyFill="1"/>
    <xf numFmtId="49" fontId="0" fillId="0" borderId="0" xfId="0" applyNumberFormat="1" applyAlignment="1">
      <alignment wrapText="1"/>
    </xf>
    <xf numFmtId="0" fontId="0" fillId="34" borderId="11" xfId="0" applyFill="1" applyBorder="1"/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center"/>
    </xf>
    <xf numFmtId="14" fontId="0" fillId="0" borderId="0" xfId="0" applyNumberFormat="1"/>
    <xf numFmtId="0" fontId="0" fillId="0" borderId="17" xfId="0" applyBorder="1"/>
    <xf numFmtId="0" fontId="1" fillId="0" borderId="0" xfId="45"/>
    <xf numFmtId="0" fontId="1" fillId="0" borderId="13" xfId="45" applyBorder="1"/>
    <xf numFmtId="43" fontId="22" fillId="0" borderId="13" xfId="46" applyFont="1" applyFill="1" applyBorder="1" applyAlignment="1">
      <alignment wrapText="1"/>
    </xf>
    <xf numFmtId="0" fontId="18" fillId="0" borderId="13" xfId="45" applyFont="1" applyBorder="1"/>
    <xf numFmtId="49" fontId="1" fillId="0" borderId="13" xfId="45" applyNumberFormat="1" applyBorder="1" applyAlignment="1">
      <alignment wrapText="1"/>
    </xf>
    <xf numFmtId="0" fontId="1" fillId="0" borderId="10" xfId="45" applyBorder="1"/>
    <xf numFmtId="0" fontId="20" fillId="0" borderId="13" xfId="45" applyFont="1" applyBorder="1"/>
    <xf numFmtId="49" fontId="1" fillId="0" borderId="15" xfId="45" applyNumberFormat="1" applyBorder="1" applyAlignment="1">
      <alignment wrapText="1"/>
    </xf>
    <xf numFmtId="49" fontId="1" fillId="0" borderId="10" xfId="45" applyNumberFormat="1" applyBorder="1" applyAlignment="1">
      <alignment wrapText="1"/>
    </xf>
    <xf numFmtId="49" fontId="1" fillId="0" borderId="14" xfId="45" applyNumberFormat="1" applyBorder="1" applyAlignment="1">
      <alignment wrapText="1"/>
    </xf>
    <xf numFmtId="49" fontId="1" fillId="35" borderId="10" xfId="45" applyNumberFormat="1" applyFill="1" applyBorder="1" applyAlignment="1">
      <alignment wrapText="1"/>
    </xf>
    <xf numFmtId="49" fontId="1" fillId="0" borderId="12" xfId="45" applyNumberFormat="1" applyBorder="1" applyAlignment="1">
      <alignment wrapText="1"/>
    </xf>
    <xf numFmtId="43" fontId="22" fillId="0" borderId="10" xfId="46" applyFont="1" applyFill="1" applyBorder="1" applyAlignment="1">
      <alignment wrapText="1"/>
    </xf>
    <xf numFmtId="0" fontId="1" fillId="0" borderId="12" xfId="45" applyBorder="1"/>
    <xf numFmtId="43" fontId="22" fillId="0" borderId="0" xfId="46" applyFont="1" applyFill="1" applyBorder="1" applyAlignment="1">
      <alignment wrapText="1"/>
    </xf>
    <xf numFmtId="0" fontId="1" fillId="0" borderId="13" xfId="45" applyBorder="1" applyAlignment="1">
      <alignment vertical="center"/>
    </xf>
    <xf numFmtId="0" fontId="1" fillId="0" borderId="16" xfId="45" applyBorder="1"/>
    <xf numFmtId="0" fontId="1" fillId="0" borderId="15" xfId="45" applyBorder="1"/>
    <xf numFmtId="0" fontId="20" fillId="0" borderId="15" xfId="45" applyFont="1" applyBorder="1"/>
    <xf numFmtId="0" fontId="20" fillId="0" borderId="10" xfId="45" applyFont="1" applyBorder="1"/>
    <xf numFmtId="49" fontId="1" fillId="0" borderId="0" xfId="45" applyNumberFormat="1" applyAlignment="1">
      <alignment wrapText="1"/>
    </xf>
    <xf numFmtId="49" fontId="1" fillId="0" borderId="16" xfId="45" applyNumberFormat="1" applyBorder="1" applyAlignment="1">
      <alignment wrapText="1"/>
    </xf>
    <xf numFmtId="0" fontId="18" fillId="0" borderId="0" xfId="45" applyFont="1"/>
    <xf numFmtId="0" fontId="1" fillId="0" borderId="0" xfId="45" applyAlignment="1">
      <alignment vertical="center"/>
    </xf>
    <xf numFmtId="0" fontId="1" fillId="0" borderId="18" xfId="45" applyBorder="1" applyAlignment="1">
      <alignment vertical="center"/>
    </xf>
    <xf numFmtId="0" fontId="1" fillId="0" borderId="18" xfId="45" applyBorder="1"/>
    <xf numFmtId="0" fontId="1" fillId="0" borderId="0" xfId="47"/>
    <xf numFmtId="0" fontId="1" fillId="0" borderId="18" xfId="47" applyBorder="1" applyAlignment="1">
      <alignment vertical="center"/>
    </xf>
    <xf numFmtId="0" fontId="1" fillId="0" borderId="19" xfId="47" applyBorder="1" applyAlignment="1">
      <alignment vertical="center"/>
    </xf>
    <xf numFmtId="0" fontId="0" fillId="36" borderId="20" xfId="0" applyFill="1" applyBorder="1"/>
    <xf numFmtId="0" fontId="0" fillId="0" borderId="0" xfId="0" applyNumberFormat="1"/>
    <xf numFmtId="0" fontId="0" fillId="0" borderId="0" xfId="0" applyNumberFormat="1" applyAlignment="1">
      <alignment horizontal="center"/>
    </xf>
    <xf numFmtId="0" fontId="0" fillId="36" borderId="21" xfId="0" applyNumberFormat="1" applyFont="1" applyFill="1" applyBorder="1"/>
    <xf numFmtId="0" fontId="0" fillId="36" borderId="20" xfId="0" applyNumberFormat="1" applyFont="1" applyFill="1" applyBorder="1"/>
  </cellXfs>
  <cellStyles count="48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Comma 2" xfId="42" xr:uid="{88DFAA77-A3AE-4905-BFDB-6899D4AE620E}"/>
    <cellStyle name="Comma 2 2" xfId="46" xr:uid="{339073B6-5532-42E5-A2F5-2A4ABD0D3CF8}"/>
    <cellStyle name="Input" xfId="9" builtinId="20" customBuiltin="1"/>
    <cellStyle name="Neutrale" xfId="8" builtinId="28" customBuiltin="1"/>
    <cellStyle name="Normal 2" xfId="45" xr:uid="{134D7CC2-50A9-4961-839F-5AB7B31E582B}"/>
    <cellStyle name="Normale" xfId="0" builtinId="0"/>
    <cellStyle name="Normale 2" xfId="44" xr:uid="{ED5A7235-E5D2-4D90-A7BB-48A7189B25A0}"/>
    <cellStyle name="Normale 2 2" xfId="47" xr:uid="{D90ED10B-4D18-4619-BD80-7F7439865707}"/>
    <cellStyle name="Normale 3" xfId="43" xr:uid="{85CCA100-8D4D-48C9-BB4C-5BE661D62C11}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8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cini Luca" refreshedDate="45915.391751620373" createdVersion="8" refreshedVersion="8" minRefreshableVersion="3" recordCount="245" xr:uid="{B74636F8-5702-495B-91B0-1CC96E48F592}">
  <cacheSource type="worksheet">
    <worksheetSource name="INSERITO_KIM"/>
  </cacheSource>
  <cacheFields count="17">
    <cacheField name="Cliente" numFmtId="0">
      <sharedItems/>
    </cacheField>
    <cacheField name="FiscalCodeOrPiva" numFmtId="0">
      <sharedItems/>
    </cacheField>
    <cacheField name="Segmento" numFmtId="0">
      <sharedItems count="2">
        <s v="SHP"/>
        <s v="RES"/>
      </sharedItems>
    </cacheField>
    <cacheField name="AccountNumber" numFmtId="0">
      <sharedItems containsSemiMixedTypes="0" containsString="0" containsNumber="1" containsInteger="1" minValue="9224979" maxValue="24395534"/>
    </cacheField>
    <cacheField name="Codice Ordine" numFmtId="0">
      <sharedItems/>
    </cacheField>
    <cacheField name="Codice Comsy Tecnico Attuale" numFmtId="0">
      <sharedItems/>
    </cacheField>
    <cacheField name="Contributo" numFmtId="0">
      <sharedItems containsSemiMixedTypes="0" containsString="0" containsNumber="1" containsInteger="1" minValue="0" maxValue="1100"/>
    </cacheField>
    <cacheField name="Tipo Ordine" numFmtId="0">
      <sharedItems/>
    </cacheField>
    <cacheField name="Canone" numFmtId="0">
      <sharedItems containsSemiMixedTypes="0" containsString="0" containsNumber="1" minValue="8.9499999999999993" maxValue="45.85"/>
    </cacheField>
    <cacheField name="Stato dell'ordine CPQ" numFmtId="0">
      <sharedItems/>
    </cacheField>
    <cacheField name="Stato dell'Ordine OM" numFmtId="0">
      <sharedItems/>
    </cacheField>
    <cacheField name="Data Inserimento Ordine" numFmtId="14">
      <sharedItems containsSemiMixedTypes="0" containsNonDate="0" containsDate="1" containsString="0" minDate="2024-03-01T00:00:00" maxDate="2025-09-14T00:00:00" count="485">
        <d v="2025-09-09T00:00:00"/>
        <d v="2025-09-06T00:00:00"/>
        <d v="2025-09-08T00:00:00"/>
        <d v="2025-09-10T00:00:00"/>
        <d v="2025-09-12T00:00:00"/>
        <d v="2025-09-02T00:00:00"/>
        <d v="2025-09-04T00:00:00"/>
        <d v="2025-09-11T00:00:00"/>
        <d v="2025-09-13T00:00:00"/>
        <d v="2025-09-03T00:00:00"/>
        <d v="2025-09-05T00:00:00"/>
        <d v="2025-09-01T00:00:00"/>
        <d v="2025-08-05T00:00:00" u="1"/>
        <d v="2025-08-30T00:00:00" u="1"/>
        <d v="2025-08-25T00:00:00" u="1"/>
        <d v="2025-08-08T00:00:00" u="1"/>
        <d v="2025-08-26T00:00:00" u="1"/>
        <d v="2025-08-22T00:00:00" u="1"/>
        <d v="2025-08-23T00:00:00" u="1"/>
        <d v="2025-08-19T00:00:00" u="1"/>
        <d v="2025-08-27T00:00:00" u="1"/>
        <d v="2025-08-12T00:00:00" u="1"/>
        <d v="2025-08-09T00:00:00" u="1"/>
        <d v="2025-08-14T00:00:00" u="1"/>
        <d v="2025-08-29T00:00:00" u="1"/>
        <d v="2025-08-06T00:00:00" u="1"/>
        <d v="2025-08-18T00:00:00" u="1"/>
        <d v="2025-08-16T00:00:00" u="1"/>
        <d v="2025-08-02T00:00:00" u="1"/>
        <d v="2025-08-28T00:00:00" u="1"/>
        <d v="2025-08-20T00:00:00" u="1"/>
        <d v="2025-08-04T00:00:00" u="1"/>
        <d v="2025-08-21T00:00:00" u="1"/>
        <d v="2025-08-07T00:00:00" u="1"/>
        <d v="2025-08-13T00:00:00" u="1"/>
        <d v="2025-08-01T00:00:00" u="1"/>
        <d v="2025-08-11T00:00:00" u="1"/>
        <d v="2025-08-31T00:00:00" u="1"/>
        <d v="2025-07-26T00:00:00" u="1"/>
        <d v="2025-07-02T00:00:00" u="1"/>
        <d v="2025-07-18T00:00:00" u="1"/>
        <d v="2025-07-15T00:00:00" u="1"/>
        <d v="2025-07-21T00:00:00" u="1"/>
        <d v="2025-07-22T00:00:00" u="1"/>
        <d v="2025-07-14T00:00:00" u="1"/>
        <d v="2025-07-28T00:00:00" u="1"/>
        <d v="2025-07-11T00:00:00" u="1"/>
        <d v="2025-07-24T00:00:00" u="1"/>
        <d v="2025-07-08T00:00:00" u="1"/>
        <d v="2025-07-09T00:00:00" u="1"/>
        <d v="2025-07-31T00:00:00" u="1"/>
        <d v="2025-07-04T00:00:00" u="1"/>
        <d v="2025-07-29T00:00:00" u="1"/>
        <d v="2025-07-30T00:00:00" u="1"/>
        <d v="2025-07-10T00:00:00" u="1"/>
        <d v="2025-07-23T00:00:00" u="1"/>
        <d v="2025-07-03T00:00:00" u="1"/>
        <d v="2025-07-12T00:00:00" u="1"/>
        <d v="2025-07-25T00:00:00" u="1"/>
        <d v="2025-07-16T00:00:00" u="1"/>
        <d v="2025-07-19T00:00:00" u="1"/>
        <d v="2025-07-01T00:00:00" u="1"/>
        <d v="2025-07-07T00:00:00" u="1"/>
        <d v="2025-07-17T00:00:00" u="1"/>
        <d v="2025-07-05T00:00:00" u="1"/>
        <d v="2025-06-19T00:00:00" u="1"/>
        <d v="2025-06-13T00:00:00" u="1"/>
        <d v="2025-06-24T00:00:00" u="1"/>
        <d v="2025-06-11T00:00:00" u="1"/>
        <d v="2025-06-30T00:00:00" u="1"/>
        <d v="2025-06-26T00:00:00" u="1"/>
        <d v="2025-06-09T00:00:00" u="1"/>
        <d v="2025-06-16T00:00:00" u="1"/>
        <d v="2025-06-25T00:00:00" u="1"/>
        <d v="2025-06-18T00:00:00" u="1"/>
        <d v="2025-06-20T00:00:00" u="1"/>
        <d v="2025-06-17T00:00:00" u="1"/>
        <d v="2025-06-04T00:00:00" u="1"/>
        <d v="2025-06-23T00:00:00" u="1"/>
        <d v="2025-06-07T00:00:00" u="1"/>
        <d v="2025-06-05T00:00:00" u="1"/>
        <d v="2025-06-06T00:00:00" u="1"/>
        <d v="2025-06-10T00:00:00" u="1"/>
        <d v="2025-06-28T00:00:00" u="1"/>
        <d v="2025-06-27T00:00:00" u="1"/>
        <d v="2025-06-21T00:00:00" u="1"/>
        <d v="2025-06-12T00:00:00" u="1"/>
        <d v="2025-06-03T00:00:00" u="1"/>
        <d v="2025-06-14T00:00:00" u="1"/>
        <d v="2025-05-07T00:00:00" u="1"/>
        <d v="2025-05-26T00:00:00" u="1"/>
        <d v="2025-05-06T00:00:00" u="1"/>
        <d v="2025-05-10T00:00:00" u="1"/>
        <d v="2025-05-09T00:00:00" u="1"/>
        <d v="2025-05-20T00:00:00" u="1"/>
        <d v="2025-05-15T00:00:00" u="1"/>
        <d v="2025-05-14T00:00:00" u="1"/>
        <d v="2025-05-05T00:00:00" u="1"/>
        <d v="2025-05-03T00:00:00" u="1"/>
        <d v="2025-05-22T00:00:00" u="1"/>
        <d v="2025-05-29T00:00:00" u="1"/>
        <d v="2025-05-16T00:00:00" u="1"/>
        <d v="2025-05-21T00:00:00" u="1"/>
        <d v="2025-05-12T00:00:00" u="1"/>
        <d v="2025-05-02T00:00:00" u="1"/>
        <d v="2025-05-08T00:00:00" u="1"/>
        <d v="2025-05-23T00:00:00" u="1"/>
        <d v="2025-05-17T00:00:00" u="1"/>
        <d v="2025-05-13T00:00:00" u="1"/>
        <d v="2025-05-30T00:00:00" u="1"/>
        <d v="2025-05-28T00:00:00" u="1"/>
        <d v="2025-05-31T00:00:00" u="1"/>
        <d v="2025-05-24T00:00:00" u="1"/>
        <d v="2025-05-19T00:00:00" u="1"/>
        <d v="2025-05-27T00:00:00" u="1"/>
        <d v="2025-05-18T00:00:00" u="1"/>
        <d v="2025-04-03T00:00:00" u="1"/>
        <d v="2025-04-09T00:00:00" u="1"/>
        <d v="2025-04-29T00:00:00" u="1"/>
        <d v="2025-04-04T00:00:00" u="1"/>
        <d v="2025-04-16T00:00:00" u="1"/>
        <d v="2025-04-08T00:00:00" u="1"/>
        <d v="2025-04-02T00:00:00" u="1"/>
        <d v="2025-04-30T00:00:00" u="1"/>
        <d v="2025-04-23T00:00:00" u="1"/>
        <d v="2025-04-22T00:00:00" u="1"/>
        <d v="2025-04-10T00:00:00" u="1"/>
        <d v="2025-04-18T00:00:00" u="1"/>
        <d v="2025-04-11T00:00:00" u="1"/>
        <d v="2025-04-24T00:00:00" u="1"/>
        <d v="2025-04-01T00:00:00" u="1"/>
        <d v="2025-04-26T00:00:00" u="1"/>
        <d v="2025-04-28T00:00:00" u="1"/>
        <d v="2025-04-07T00:00:00" u="1"/>
        <d v="2025-04-15T00:00:00" u="1"/>
        <d v="2025-04-05T00:00:00" u="1"/>
        <d v="2025-04-14T00:00:00" u="1"/>
        <d v="2025-04-17T00:00:00" u="1"/>
        <d v="2025-04-19T00:00:00" u="1"/>
        <d v="2025-04-12T00:00:00" u="1"/>
        <d v="2025-04-25T00:00:00" u="1"/>
        <d v="2025-03-04T00:00:00" u="1"/>
        <d v="2025-03-11T00:00:00" u="1"/>
        <d v="2025-03-24T00:00:00" u="1"/>
        <d v="2025-03-08T00:00:00" u="1"/>
        <d v="2025-03-12T00:00:00" u="1"/>
        <d v="2025-03-22T00:00:00" u="1"/>
        <d v="2025-03-05T00:00:00" u="1"/>
        <d v="2025-03-18T00:00:00" u="1"/>
        <d v="2025-03-26T00:00:00" u="1"/>
        <d v="2025-03-31T00:00:00" u="1"/>
        <d v="2025-03-07T00:00:00" u="1"/>
        <d v="2025-03-21T00:00:00" u="1"/>
        <d v="2025-03-29T00:00:00" u="1"/>
        <d v="2025-03-13T00:00:00" u="1"/>
        <d v="2025-03-14T00:00:00" u="1"/>
        <d v="2025-03-06T00:00:00" u="1"/>
        <d v="2025-03-25T00:00:00" u="1"/>
        <d v="2025-03-17T00:00:00" u="1"/>
        <d v="2025-03-10T00:00:00" u="1"/>
        <d v="2025-03-27T00:00:00" u="1"/>
        <d v="2025-03-01T00:00:00" u="1"/>
        <d v="2025-03-20T00:00:00" u="1"/>
        <d v="2025-03-15T00:00:00" u="1"/>
        <d v="2025-03-19T00:00:00" u="1"/>
        <d v="2025-03-28T00:00:00" u="1"/>
        <d v="2025-03-03T00:00:00" u="1"/>
        <d v="2025-02-25T00:00:00" u="1"/>
        <d v="2025-02-12T00:00:00" u="1"/>
        <d v="2025-02-04T00:00:00" u="1"/>
        <d v="2025-02-26T00:00:00" u="1"/>
        <d v="2025-02-24T00:00:00" u="1"/>
        <d v="2025-02-06T00:00:00" u="1"/>
        <d v="2025-02-27T00:00:00" u="1"/>
        <d v="2025-02-17T00:00:00" u="1"/>
        <d v="2025-02-11T00:00:00" u="1"/>
        <d v="2025-02-28T00:00:00" u="1"/>
        <d v="2025-02-21T00:00:00" u="1"/>
        <d v="2025-02-18T00:00:00" u="1"/>
        <d v="2025-02-14T00:00:00" u="1"/>
        <d v="2025-02-19T00:00:00" u="1"/>
        <d v="2025-02-13T00:00:00" u="1"/>
        <d v="2025-02-10T00:00:00" u="1"/>
        <d v="2025-02-03T00:00:00" u="1"/>
        <d v="2025-02-05T00:00:00" u="1"/>
        <d v="2025-02-01T00:00:00" u="1"/>
        <d v="2025-02-08T00:00:00" u="1"/>
        <d v="2025-02-20T00:00:00" u="1"/>
        <d v="2025-02-15T00:00:00" u="1"/>
        <d v="2025-02-07T00:00:00" u="1"/>
        <d v="2025-02-22T00:00:00" u="1"/>
        <d v="2025-01-23T00:00:00" u="1"/>
        <d v="2025-01-21T00:00:00" u="1"/>
        <d v="2025-01-14T00:00:00" u="1"/>
        <d v="2025-01-28T00:00:00" u="1"/>
        <d v="2025-01-24T00:00:00" u="1"/>
        <d v="2025-01-13T00:00:00" u="1"/>
        <d v="2025-01-09T00:00:00" u="1"/>
        <d v="2025-01-04T00:00:00" u="1"/>
        <d v="2025-01-07T00:00:00" u="1"/>
        <d v="2025-01-22T00:00:00" u="1"/>
        <d v="2025-01-20T00:00:00" u="1"/>
        <d v="2025-01-31T00:00:00" u="1"/>
        <d v="2025-01-08T00:00:00" u="1"/>
        <d v="2025-01-02T00:00:00" u="1"/>
        <d v="2025-01-10T00:00:00" u="1"/>
        <d v="2025-01-03T00:00:00" u="1"/>
        <d v="2025-01-30T00:00:00" u="1"/>
        <d v="2025-01-25T00:00:00" u="1"/>
        <d v="2025-01-29T00:00:00" u="1"/>
        <d v="2025-01-27T00:00:00" u="1"/>
        <d v="2025-01-17T00:00:00" u="1"/>
        <d v="2025-01-15T00:00:00" u="1"/>
        <d v="2025-01-16T00:00:00" u="1"/>
        <d v="2025-01-11T00:00:00" u="1"/>
        <d v="2025-01-18T00:00:00" u="1"/>
        <d v="2025-01-06T00:00:00" u="1"/>
        <d v="2024-12-11T00:00:00" u="1"/>
        <d v="2024-12-17T00:00:00" u="1"/>
        <d v="2024-12-02T00:00:00" u="1"/>
        <d v="2024-12-09T00:00:00" u="1"/>
        <d v="2024-12-16T00:00:00" u="1"/>
        <d v="2024-12-20T00:00:00" u="1"/>
        <d v="2024-12-28T00:00:00" u="1"/>
        <d v="2024-12-04T00:00:00" u="1"/>
        <d v="2024-12-06T00:00:00" u="1"/>
        <d v="2024-12-07T00:00:00" u="1"/>
        <d v="2024-12-14T00:00:00" u="1"/>
        <d v="2024-12-24T00:00:00" u="1"/>
        <d v="2024-12-21T00:00:00" u="1"/>
        <d v="2024-12-12T00:00:00" u="1"/>
        <d v="2024-12-23T00:00:00" u="1"/>
        <d v="2024-12-03T00:00:00" u="1"/>
        <d v="2024-12-18T00:00:00" u="1"/>
        <d v="2024-12-05T00:00:00" u="1"/>
        <d v="2024-12-19T00:00:00" u="1"/>
        <d v="2024-12-10T00:00:00" u="1"/>
        <d v="2024-12-13T00:00:00" u="1"/>
        <d v="2024-12-30T00:00:00" u="1"/>
        <d v="2024-12-27T00:00:00" u="1"/>
        <d v="2024-12-22T00:00:00" u="1"/>
        <d v="2024-12-31T00:00:00" u="1"/>
        <d v="2024-12-29T00:00:00" u="1"/>
        <d v="2024-12-15T00:00:00" u="1"/>
        <d v="2024-11-20T00:00:00" u="1"/>
        <d v="2024-11-12T00:00:00" u="1"/>
        <d v="2024-11-09T00:00:00" u="1"/>
        <d v="2024-11-19T00:00:00" u="1"/>
        <d v="2024-11-22T00:00:00" u="1"/>
        <d v="2024-11-08T00:00:00" u="1"/>
        <d v="2024-11-14T00:00:00" u="1"/>
        <d v="2024-11-11T00:00:00" u="1"/>
        <d v="2024-11-28T00:00:00" u="1"/>
        <d v="2024-11-26T00:00:00" u="1"/>
        <d v="2024-11-06T00:00:00" u="1"/>
        <d v="2024-11-13T00:00:00" u="1"/>
        <d v="2024-11-02T00:00:00" u="1"/>
        <d v="2024-11-21T00:00:00" u="1"/>
        <d v="2024-11-27T00:00:00" u="1"/>
        <d v="2024-11-18T00:00:00" u="1"/>
        <d v="2024-11-05T00:00:00" u="1"/>
        <d v="2024-11-16T00:00:00" u="1"/>
        <d v="2024-11-25T00:00:00" u="1"/>
        <d v="2024-11-15T00:00:00" u="1"/>
        <d v="2024-11-23T00:00:00" u="1"/>
        <d v="2024-11-04T00:00:00" u="1"/>
        <d v="2024-11-07T00:00:00" u="1"/>
        <d v="2024-11-30T00:00:00" u="1"/>
        <d v="2024-11-29T00:00:00" u="1"/>
        <d v="2024-11-10T00:00:00" u="1"/>
        <d v="2024-11-03T00:00:00" u="1"/>
        <d v="2024-11-01T00:00:00" u="1"/>
        <d v="2024-10-17T00:00:00" u="1"/>
        <d v="2024-10-09T00:00:00" u="1"/>
        <d v="2024-10-08T00:00:00" u="1"/>
        <d v="2024-10-24T00:00:00" u="1"/>
        <d v="2024-10-22T00:00:00" u="1"/>
        <d v="2024-10-19T00:00:00" u="1"/>
        <d v="2024-10-23T00:00:00" u="1"/>
        <d v="2024-10-12T00:00:00" u="1"/>
        <d v="2024-10-14T00:00:00" u="1"/>
        <d v="2024-10-26T00:00:00" u="1"/>
        <d v="2024-10-29T00:00:00" u="1"/>
        <d v="2024-10-04T00:00:00" u="1"/>
        <d v="2024-10-16T00:00:00" u="1"/>
        <d v="2024-10-21T00:00:00" u="1"/>
        <d v="2024-10-07T00:00:00" u="1"/>
        <d v="2024-10-13T00:00:00" u="1"/>
        <d v="2024-10-30T00:00:00" u="1"/>
        <d v="2024-10-03T00:00:00" u="1"/>
        <d v="2024-10-11T00:00:00" u="1"/>
        <d v="2024-10-18T00:00:00" u="1"/>
        <d v="2024-10-15T00:00:00" u="1"/>
        <d v="2024-10-02T00:00:00" u="1"/>
        <d v="2024-10-01T00:00:00" u="1"/>
        <d v="2024-10-10T00:00:00" u="1"/>
        <d v="2024-10-28T00:00:00" u="1"/>
        <d v="2024-10-25T00:00:00" u="1"/>
        <d v="2024-10-05T00:00:00" u="1"/>
        <d v="2024-10-31T00:00:00" u="1"/>
        <d v="2024-09-27T00:00:00" u="1"/>
        <d v="2024-09-24T00:00:00" u="1"/>
        <d v="2024-09-17T00:00:00" u="1"/>
        <d v="2024-09-12T00:00:00" u="1"/>
        <d v="2024-09-09T00:00:00" u="1"/>
        <d v="2024-09-30T00:00:00" u="1"/>
        <d v="2024-09-28T00:00:00" u="1"/>
        <d v="2024-09-19T00:00:00" u="1"/>
        <d v="2024-09-20T00:00:00" u="1"/>
        <d v="2024-09-18T00:00:00" u="1"/>
        <d v="2024-09-13T00:00:00" u="1"/>
        <d v="2024-09-14T00:00:00" u="1"/>
        <d v="2024-09-25T00:00:00" u="1"/>
        <d v="2024-09-21T00:00:00" u="1"/>
        <d v="2024-09-11T00:00:00" u="1"/>
        <d v="2024-09-07T00:00:00" u="1"/>
        <d v="2024-09-06T00:00:00" u="1"/>
        <d v="2024-09-16T00:00:00" u="1"/>
        <d v="2024-09-05T00:00:00" u="1"/>
        <d v="2024-09-04T00:00:00" u="1"/>
        <d v="2024-09-02T00:00:00" u="1"/>
        <d v="2024-09-10T00:00:00" u="1"/>
        <d v="2024-09-23T00:00:00" u="1"/>
        <d v="2024-09-03T00:00:00" u="1"/>
        <d v="2024-09-26T00:00:00" u="1"/>
        <d v="2024-08-21T00:00:00" u="1"/>
        <d v="2024-08-06T00:00:00" u="1"/>
        <d v="2024-08-05T00:00:00" u="1"/>
        <d v="2024-08-28T00:00:00" u="1"/>
        <d v="2024-08-01T00:00:00" u="1"/>
        <d v="2024-08-12T00:00:00" u="1"/>
        <d v="2024-08-19T00:00:00" u="1"/>
        <d v="2024-08-27T00:00:00" u="1"/>
        <d v="2024-08-07T00:00:00" u="1"/>
        <d v="2024-08-09T00:00:00" u="1"/>
        <d v="2024-08-30T00:00:00" u="1"/>
        <d v="2024-08-29T00:00:00" u="1"/>
        <d v="2024-08-31T00:00:00" u="1"/>
        <d v="2024-08-13T00:00:00" u="1"/>
        <d v="2024-08-23T00:00:00" u="1"/>
        <d v="2024-08-14T00:00:00" u="1"/>
        <d v="2024-08-08T00:00:00" u="1"/>
        <d v="2024-08-02T00:00:00" u="1"/>
        <d v="2024-08-22T00:00:00" u="1"/>
        <d v="2024-08-26T00:00:00" u="1"/>
        <d v="2024-08-17T00:00:00" u="1"/>
        <d v="2024-08-10T00:00:00" u="1"/>
        <d v="2024-08-24T00:00:00" u="1"/>
        <d v="2024-08-20T00:00:00" u="1"/>
        <d v="2024-08-03T00:00:00" u="1"/>
        <d v="2024-08-16T00:00:00" u="1"/>
        <d v="2024-07-31T00:00:00" u="1"/>
        <d v="2024-07-30T00:00:00" u="1"/>
        <d v="2024-07-04T00:00:00" u="1"/>
        <d v="2024-07-09T00:00:00" u="1"/>
        <d v="2024-07-10T00:00:00" u="1"/>
        <d v="2024-07-03T00:00:00" u="1"/>
        <d v="2024-07-08T00:00:00" u="1"/>
        <d v="2024-07-24T00:00:00" u="1"/>
        <d v="2024-07-18T00:00:00" u="1"/>
        <d v="2024-07-12T00:00:00" u="1"/>
        <d v="2024-07-26T00:00:00" u="1"/>
        <d v="2024-07-15T00:00:00" u="1"/>
        <d v="2024-07-16T00:00:00" u="1"/>
        <d v="2024-07-01T00:00:00" u="1"/>
        <d v="2024-07-23T00:00:00" u="1"/>
        <d v="2024-07-22T00:00:00" u="1"/>
        <d v="2024-07-27T00:00:00" u="1"/>
        <d v="2024-07-29T00:00:00" u="1"/>
        <d v="2024-07-19T00:00:00" u="1"/>
        <d v="2024-07-11T00:00:00" u="1"/>
        <d v="2024-07-02T00:00:00" u="1"/>
        <d v="2024-07-20T00:00:00" u="1"/>
        <d v="2024-07-05T00:00:00" u="1"/>
        <d v="2024-07-25T00:00:00" u="1"/>
        <d v="2024-07-06T00:00:00" u="1"/>
        <d v="2024-07-17T00:00:00" u="1"/>
        <d v="2024-07-13T00:00:00" u="1"/>
        <d v="2024-06-24T00:00:00" u="1"/>
        <d v="2024-06-01T00:00:00" u="1"/>
        <d v="2024-06-25T00:00:00" u="1"/>
        <d v="2024-06-29T00:00:00" u="1"/>
        <d v="2024-06-17T00:00:00" u="1"/>
        <d v="2024-06-15T00:00:00" u="1"/>
        <d v="2024-06-08T00:00:00" u="1"/>
        <d v="2024-06-10T00:00:00" u="1"/>
        <d v="2024-06-18T00:00:00" u="1"/>
        <d v="2024-06-04T00:00:00" u="1"/>
        <d v="2024-06-20T00:00:00" u="1"/>
        <d v="2024-06-14T00:00:00" u="1"/>
        <d v="2024-06-03T00:00:00" u="1"/>
        <d v="2024-06-07T00:00:00" u="1"/>
        <d v="2024-06-11T00:00:00" u="1"/>
        <d v="2024-06-28T00:00:00" u="1"/>
        <d v="2024-06-26T00:00:00" u="1"/>
        <d v="2024-06-06T00:00:00" u="1"/>
        <d v="2024-06-12T00:00:00" u="1"/>
        <d v="2024-06-05T00:00:00" u="1"/>
        <d v="2024-06-21T00:00:00" u="1"/>
        <d v="2024-06-19T00:00:00" u="1"/>
        <d v="2024-06-22T00:00:00" u="1"/>
        <d v="2024-06-13T00:00:00" u="1"/>
        <d v="2024-06-27T00:00:00" u="1"/>
        <d v="2024-05-31T00:00:00" u="1"/>
        <d v="2024-05-03T00:00:00" u="1"/>
        <d v="2024-05-24T00:00:00" u="1"/>
        <d v="2024-05-22T00:00:00" u="1"/>
        <d v="2024-05-02T00:00:00" u="1"/>
        <d v="2024-05-15T00:00:00" u="1"/>
        <d v="2024-05-07T00:00:00" u="1"/>
        <d v="2024-05-06T00:00:00" u="1"/>
        <d v="2024-05-13T00:00:00" u="1"/>
        <d v="2024-05-27T00:00:00" u="1"/>
        <d v="2024-05-29T00:00:00" u="1"/>
        <d v="2024-05-23T00:00:00" u="1"/>
        <d v="2024-05-20T00:00:00" u="1"/>
        <d v="2024-05-17T00:00:00" u="1"/>
        <d v="2024-05-28T00:00:00" u="1"/>
        <d v="2024-05-16T00:00:00" u="1"/>
        <d v="2024-05-21T00:00:00" u="1"/>
        <d v="2024-05-04T00:00:00" u="1"/>
        <d v="2024-05-08T00:00:00" u="1"/>
        <d v="2024-05-18T00:00:00" u="1"/>
        <d v="2024-05-11T00:00:00" u="1"/>
        <d v="2024-05-25T00:00:00" u="1"/>
        <d v="2024-05-10T00:00:00" u="1"/>
        <d v="2024-05-09T00:00:00" u="1"/>
        <d v="2024-05-14T00:00:00" u="1"/>
        <d v="2024-05-30T00:00:00" u="1"/>
        <d v="2024-04-13T00:00:00" u="1"/>
        <d v="2024-04-09T00:00:00" u="1"/>
        <d v="2024-04-20T00:00:00" u="1"/>
        <d v="2024-04-16T00:00:00" u="1"/>
        <d v="2024-04-19T00:00:00" u="1"/>
        <d v="2024-04-03T00:00:00" u="1"/>
        <d v="2024-04-27T00:00:00" u="1"/>
        <d v="2024-04-29T00:00:00" u="1"/>
        <d v="2024-04-24T00:00:00" u="1"/>
        <d v="2024-04-30T00:00:00" u="1"/>
        <d v="2024-04-10T00:00:00" u="1"/>
        <d v="2024-04-17T00:00:00" u="1"/>
        <d v="2024-04-11T00:00:00" u="1"/>
        <d v="2024-04-08T00:00:00" u="1"/>
        <d v="2024-04-26T00:00:00" u="1"/>
        <d v="2024-04-15T00:00:00" u="1"/>
        <d v="2024-04-05T00:00:00" u="1"/>
        <d v="2024-04-04T00:00:00" u="1"/>
        <d v="2024-04-23T00:00:00" u="1"/>
        <d v="2024-04-12T00:00:00" u="1"/>
        <d v="2024-04-18T00:00:00" u="1"/>
        <d v="2024-04-06T00:00:00" u="1"/>
        <d v="2024-04-22T00:00:00" u="1"/>
        <d v="2024-04-02T00:00:00" u="1"/>
        <d v="2024-04-14T00:00:00" u="1"/>
        <d v="2024-04-28T00:00:00" u="1"/>
        <d v="2024-04-21T00:00:00" u="1"/>
        <d v="2024-03-25T00:00:00" u="1"/>
        <d v="2024-03-06T00:00:00" u="1"/>
        <d v="2024-03-22T00:00:00" u="1"/>
        <d v="2024-03-18T00:00:00" u="1"/>
        <d v="2024-03-16T00:00:00" u="1"/>
        <d v="2024-03-30T00:00:00" u="1"/>
        <d v="2024-03-04T00:00:00" u="1"/>
        <d v="2024-03-15T00:00:00" u="1"/>
        <d v="2024-03-01T00:00:00" u="1"/>
        <d v="2024-03-19T00:00:00" u="1"/>
        <d v="2024-03-26T00:00:00" u="1"/>
        <d v="2024-03-11T00:00:00" u="1"/>
        <d v="2024-03-13T00:00:00" u="1"/>
        <d v="2024-03-27T00:00:00" u="1"/>
        <d v="2024-03-20T00:00:00" u="1"/>
        <d v="2024-03-21T00:00:00" u="1"/>
        <d v="2024-03-08T00:00:00" u="1"/>
        <d v="2024-03-05T00:00:00" u="1"/>
        <d v="2024-03-14T00:00:00" u="1"/>
        <d v="2024-03-07T00:00:00" u="1"/>
        <d v="2024-03-12T00:00:00" u="1"/>
        <d v="2024-03-29T00:00:00" u="1"/>
        <d v="2024-03-28T00:00:00" u="1"/>
        <d v="2024-03-09T00:00:00" u="1"/>
        <d v="2024-03-02T00:00:00" u="1"/>
        <d v="2024-03-23T00:00:00" u="1"/>
        <d v="2024-03-03T00:00:00" u="1"/>
        <d v="2024-03-17T00:00:00" u="1"/>
        <d v="2024-03-31T00:00:00" u="1"/>
      </sharedItems>
    </cacheField>
    <cacheField name="Valore" numFmtId="0">
      <sharedItems containsBlank="1" count="25">
        <s v="Fastweb Business Light"/>
        <s v="Fastweb Casa light"/>
        <s v="Fastweb Mobile"/>
        <s v="Fastweb Mobile Unlimited"/>
        <s v="Fastweb NeXXt Mobile"/>
        <s v="Fastweb NeXXt Mobile Business"/>
        <s v="Fastweb NeXXt Mobile Mini"/>
        <s v="Fastweb NeXXt One Business"/>
        <s v="Fastweb NeXXt One Casa"/>
        <s v="Fastweb NeXXt One Casa FWA"/>
        <s v="Fastweb Casa Light FWA" u="1"/>
        <s v="FastwebCasa NeXXt casa" u="1"/>
        <s v="Fastweb NeXXt Business" u="1"/>
        <s v="Fastweb NeXXt Mobile Business Unlimited" u="1"/>
        <s v="Fastweb NeXXt Mobile Business Freedom" u="1"/>
        <s v="" u="1"/>
        <s v="Mobile Business" u="1"/>
        <s v="Mobile a Consumo" u="1"/>
        <s v="Fastweb Mobile NeXXt Backup" u="1"/>
        <s v="Fastweb Mobile Voce" u="1"/>
        <s v="Fastweb Casa FWA" u="1"/>
        <s v="Fastweb Mobile Dati" u="1"/>
        <s v="Fastweb NeXXt Business Light" u="1"/>
        <s v="Fastweb NeXXt Casa light" u="1"/>
        <m u="1"/>
      </sharedItems>
    </cacheField>
    <cacheField name="POINT" numFmtId="0">
      <sharedItems count="187">
        <s v="INFOPOINT DI DEL VECCHIO ROSA E CORTIGIANO CARMELA "/>
        <s v="MILILLO GIUSEPPE"/>
        <s v="MEDIA CENTER DI LUCA BARBERIO"/>
        <s v="PC CENTER DI LACAVA MASSIMO GIUSEPPE"/>
        <s v="HDC REPAIR SERVICE DI FRANCAVILLA MICHELE"/>
        <s v="BOXSTORE DI SAVINO"/>
        <s v="HUB 98 di DRAGONE GIUSEPPE"/>
        <s v="REPAIR MOBILE STORE DI CARMINE PALMIERI"/>
        <s v="RISOLTO LAB MONOPOLI"/>
        <s v="DOPPIO CLICK INFORMATICA"/>
        <s v="S.O.S. SMARTPHONE DI GERARDO "/>
        <s v="MEDIA DREAMS DI MARCOVECCHIO ANTONLUCA"/>
        <s v="IN RETE DI GIACOMO LEO"/>
        <s v="PC SYSTEM DI EMANUELE SERINELLI "/>
        <s v="TECNOLOGIT DI D'ALESSANDRO FRANCESCO"/>
        <s v="S.I.P.R.A. ITALIA SAS DI LASALVIA M. &amp; MONTERISI G."/>
        <s v="PUNTOCOM DI BONITO MARIALUIGIA"/>
        <s v="COMPUTER STORE DI BIANCO LUCA"/>
        <s v="COMUNICARE.IT"/>
        <s v="ARTE FOTO SAS DI MARISA COLUCCELLI &amp; C."/>
        <s v="RENEWED S.R.L."/>
        <s v="DECOM"/>
        <s v="MONDO TELEFONO 2.0 DI BORRINO GIANPIERO"/>
        <s v="ELECTROASSIST DI LABIENTE LAZZARO"/>
        <s v="FIX&amp;PLAY DI DINICHILO GIUSEPPE"/>
        <s v="MIKE'S PHONE DI TETRO MICHELE"/>
        <s v="ELETTRONIC CENTER DI TROISIO GIUSEPPE           "/>
        <s v="SMART BOX"/>
        <s v="BARBERINI"/>
        <s v="THE WALL MUSIC CENTER DI GRASSI GIANLUCA"/>
        <s v="ELEKTRO-DO DOMENICO LOBASCIO"/>
        <s v="NICK TEL DI NICOLA MASTROCRISTINO"/>
        <s v="KIM"/>
        <s v="TELEFONIA SERVICE DI ANTONELLI MICHELE"/>
        <s v="R&amp;P PLANET PHONE SRLS"/>
        <s v="DE TOMMASO ANTONIO         "/>
        <s v="DEBATECH DI DE PIANO DINA"/>
        <s v="GIOVE - TECH DI CIAFARDONI NELLO"/>
        <s v="LA CONNESSIONE di GABRIELE DONATELLA"/>
        <s v="NASTI TECHNO STORE DI NASTI PIETRO"/>
        <s v="LEVAPHONE DI LEVA ANTONIO"/>
        <s v="TEKNOPOINT SNC        "/>
        <s v="GALLITELLI ANTONIO"/>
        <s v="L OGIN SOLUTION"/>
        <s v="MEDIASERVICE DI PATRUNO MARCO"/>
        <s v="AUDIO VIDEO CENTER DI GIOVANNIELLO DOMENICO"/>
        <s v="CASALUCI S.R.L."/>
        <s v="APULIATOURIST2.0"/>
        <s v="CARTOPLANET DI GIUSEPPE RUBINI"/>
        <s v="SMARTPHONE S.R.L."/>
        <s v="ESSE.RRE UFFICIO"/>
        <s v="BLINK S.R.L."/>
        <s v="SOLUZIONI AMBIENTALI DI GENNARO MARTUSCIELLO"/>
        <s v="CELLULAR PARK DI MAGGIO ANTONIO"/>
        <s v="BECLARI ELECTRONICS"/>
        <s v="PC WORLD"/>
        <s v="5G STORE S.R.L.S"/>
        <s v="VERRE DONATO"/>
        <s v="MOVIESTARS SRLS"/>
        <s v="QUARTA MATTIA"/>
        <s v="WIRELESS TECHNOLOGY DI INNANGI DESIDERIA"/>
        <s v="ELETTRONICA PIU' DI STEFANIA MICHELE" u="1"/>
        <s v="GMP INFORMATICA DI MANCO GIORGIO PASQUALE" u="1"/>
        <s v="TECNOSYSTEM EL. CAPUTO ROSARIA" u="1"/>
        <s v="ELETTROCCASIONE S.A.S. DI DE RUVO VINCENZO" u="1"/>
        <s v="ELETTROTEL LAGHEZZA FRANCESCO" u="1"/>
        <s v="RESCINA SERVICE SRLS" u="1"/>
        <s v="COLELLA ELIODORO LUCIO" u="1"/>
        <s v="EURONICS GIUSEPPE BELLANOVA" u="1"/>
        <s v="SIMON GADALETA" u="1"/>
        <s v="TC TELEFONIA E COMPUTER DI LEO FRANCESCO" u="1"/>
        <s v="TOP AUDIO VIDEO DI SCAROLA MATTEO" u="1"/>
        <s v="ELETTROSYSTEM DI PASQUALE BALDANTONI" u="1"/>
        <s v="ON LINE TECH SRLS" u="1"/>
        <s v="ELETTROSTORE" u="1"/>
        <s v="TKIAMO SRLS" u="1"/>
        <s v="SCHITO MAGGIO S.N.C" u="1"/>
        <s v="ET ELETTRONICA TELECOMUNICAZIONI SERVIZI SRL" u="1"/>
        <s v="CELLULAR CENTER di D'ERCOLE MICHELE" u="1"/>
        <s v="A.G. TECHNOLOGY TRADE di ANDREA GARGANO " u="1"/>
        <s v="MARINO TECH S.R.L" u="1"/>
        <s v="GIANPYTEL DI GIANPIERO ESPOSITO" u="1"/>
        <s v="CATANZARO LUIGI" u="1"/>
        <s v="HAPPYNET DI DEFLORIO" u="1"/>
        <s v="TOUCH MELFI S.R.L.S." u="1"/>
        <s v="MISTERJ DI COSIMO CASTANO" u="1"/>
        <s v="MONDO MUSICA DI SPINELLI FRANCESCO" u="1"/>
        <s v="SMART TECH DI BASILE EUFEMIA" u="1"/>
        <s v="ITEL STORE CONSULTING DI CIMMARRUSTI" u="1"/>
        <s v="FOTO ALL TECHNOLOGIES DI FUINA COSIMO DAMIANO" u="1"/>
        <s v="TALK LINE DI MELELEO LORENZO" u="1"/>
        <s v="VOCE E SUONI DI LATRONICO STEFANIA" u="1"/>
        <s v="SVAR DI LEO CHRISTIAN" u="1"/>
        <s v="SPAGNOLO INFORMATICA E UFFICIO DI SPAGNOLO ANGELO" u="1"/>
        <s v="PUNTO LED DI DE FILIPPO GIOACCHINO" u="1"/>
        <s v="NORBATEL DI PASCALE ALESSANDRO" u="1"/>
        <s v="FREE-LINE DI SANSONE SERGIO" u="1"/>
        <s v="ITECHNOLOGY DI PATISSO STEFANO" u="1"/>
        <s v="VIDEOCALL S.R.S." u="1"/>
        <s v="MAIORANO DANILO" u="1"/>
        <s v="MR. INFORMATICA" u="1"/>
        <s v="MAFFIA ORONZO" u="1"/>
        <s v="MEGABYTE DI FERSINI ANTONIO" u="1"/>
        <s v="TAMBORRINO ANTONIO" u="1"/>
        <s v="DI LASCIO FRANCESCO" u="1"/>
        <s v="WINDMANIA" u="1"/>
        <s v="SHOCK" u="1"/>
        <s v="PARISI MARIO PIO" u="1"/>
        <s v="SWIPE UP" u="1"/>
        <s v="DE SANTIS GIUSEPPE" u="1"/>
        <s v="CATTANEO DIRCE" u="1"/>
        <s v="COMPUTER ASSISTANT DI SERGIO BRUNO" u="1"/>
        <s v="CELLULANDIA DI SPAGNOLO IRINELLA" u="1"/>
        <s v="HTS COMPUTERS" u="1"/>
        <s v="PLAYERONE DI GIANNOTTI SIMONA" u="1"/>
        <s v="FRANZOSO ANTONIO FERNANDO" u="1"/>
        <s v="MUSIO EMANUELE" u="1"/>
        <s v="ELETTRONICA SERVICE DI SOLAZZO GIOVANNI      " u="1"/>
        <s v="HG STORE DI SANTORO FRANCESCO" u="1"/>
        <s v="SURIV S.R.L" u="1"/>
        <s v="MANU IS LIFE SRL" u="1"/>
        <s v="D'ANZIERI FELICE" u="1"/>
        <s v="GIOMIR S.R.L.S" u="1"/>
        <s v="TECHNO STYLE SRLS" u="1"/>
        <s v="CELLULAR POINT MANIA DI LOMBARDI CARMELO" u="1"/>
        <s v="PUNTO SMART S.R.L.S" u="1"/>
        <s v="CITY STORE UGO RABAUDI" u="1"/>
        <s v="TECNOSTORE DI STEFANELLI MICHELE GIOVANNI" u="1"/>
        <s v="ELETTRONICA 2000 di MARIA RITA CRETI'" u="1"/>
        <s v="EUROCOMPUTER DI ARSIENI ANGELO" u="1"/>
        <s v="PASANISI VALERIO GIORGIO" u="1"/>
        <s v="EMPORIO COLUZZI DI COLUZZI PIETRO" u="1"/>
        <s v="TECNOLAB S.N.C DI LUCA SERRA E FRANCESCA ARNO'" u="1"/>
        <s v="PASSAVANTI LUIGI" u="1"/>
        <s v="PR COMPUTER DI PETRUCCI GIROLAMO" u="1"/>
        <s v="FREEDOM COMPUTER" u="1"/>
        <s v="RAME DI DELOS REYES FRANCESCO" u="1"/>
        <s v="ELEKTRODOMOTIK di STIGLIANI PASQUALE" u="1"/>
        <s v="ELETTROSHOP S.R.L" u="1"/>
        <s v="VOLGARINO DOMENICO MATTEO " u="1"/>
        <s v="ITECH DI POLITI MARCO" u="1"/>
        <s v="LOFRANCO DARIO" u="1"/>
        <s v="IDEANOVA DI MINERVINI MARISTELLA" u="1"/>
        <s v="EXE SOLUTION INFORMATICA E TELEFONIA DI MUSCA ENRICO" u="1"/>
        <s v="D.M.G. DI NITTO MARIA GERARDA" u="1"/>
        <s v="RAUSEO LUIGI" u="1"/>
        <s v="SINISI LORENZO" u="1"/>
        <s v="DOPPIO CLICK INFORMATICA &amp; FORNITURE DA UFFICIO DI GUIDI LUCA E BRUNO ANTONIO S.N.C. " u="1"/>
        <s v="DIGITAL TEO PHONE" u="1"/>
        <s v="TECNOLOGY PARTS" u="1"/>
        <s v="PANDARESE ACHILLE" u="1"/>
        <s v="LA TELEFONIA DI ANTONIO LUPO" u="1"/>
        <s v="BERARDI MAURIZIO" u="1"/>
        <s v="HOSPITAL PHONE" u="1"/>
        <e v="#N/A" u="1"/>
        <s v="GALLO S.R.L" u="1"/>
        <s v="PHONE CENTER S.R.L.S" u="1"/>
        <s v="GIACOMO ROSATO" u="1"/>
        <s v="MORIERO SANDRO" u="1"/>
        <s v="INFOTECH DI GRECO GIUSEPPE" u="1"/>
        <s v="PGS MEGA STORE S.R.L." u="1"/>
        <s v="HOME VIDEO DI CARLA' ANTONIO" u="1"/>
        <s v="START INFORMATICA DI SUSCA VALERIO" u="1"/>
        <s v="WHITE CITY REPAIR di PINTO ROSSANA" u="1"/>
        <s v="GRECO SERVICE" u="1"/>
        <s v="COMPLEXUS SRL   GABRIELE SOLOMBRINO" u="1"/>
        <s v="CARTOLIBRERIA LA MATITA - Smartphone S.R.L.S." u="1"/>
        <s v="DEL COCCHIO FABIO" u="1"/>
        <s v="CELLULOPOLI DI ALTAVILLA MARCO" u="1"/>
        <s v="MONDO TELEFONO DI VITULLI ANGELA" u="1"/>
        <s v="HI-TECH INNOVATION DI D'AMATO CLAUDIO" u="1"/>
        <s v="ALBANO ELETTRODOMESTICI" u="1"/>
        <s v="GUGLIELMI NICOLA ME.GA ELETRONICS STORE" u="1"/>
        <s v="INFOTECNOLAB DI SCURO TEODORO" u="1"/>
        <s v="S20 SRL (ELETTRONICA PLUS DI CARBOTTI UCCIO)  " u="1"/>
        <s v="TRIGGIANO LAURA" u="1"/>
        <s v="ISI COMPUTER S.R.L" u="1"/>
        <s v="CENTRO SERVIZI CAFAGNA" u="1"/>
        <s v="EXATEL STORE" u="1"/>
        <s v="MARKETING SOLUTION S.R.L.S." u="1"/>
        <s v="EXPERIENCE SRL" u="1"/>
        <s v="GLOBAL SERVICE DI CAPUTO ROCCO LUCIANO" u="1"/>
        <s v="RP GROUP S.R.L. - EX: PR &amp; ST SRL" u="1"/>
        <s v="PGSPOINT SRL       " u="1"/>
        <s v="ITEL STORE DI LANZOLLA GIOVANNI" u="1"/>
        <s v="NAPOLI CHRISTIAN QUINTINO" u="1"/>
        <s v="REX" u="1"/>
      </sharedItems>
    </cacheField>
    <cacheField name="AM" numFmtId="0">
      <sharedItems containsMixedTypes="1" containsNumber="1" containsInteger="1" minValue="0" maxValue="0" count="6">
        <s v="Giacomo"/>
        <s v="Armando"/>
        <s v="Raffaele"/>
        <s v="Luigi"/>
        <s v="KIM"/>
        <n v="0" u="1"/>
      </sharedItems>
    </cacheField>
    <cacheField name="TIPO" numFmtId="0">
      <sharedItems count="3">
        <s v="FISSO"/>
        <s v="MOBILE"/>
        <e v="#N/A" u="1"/>
      </sharedItems>
    </cacheField>
    <cacheField name="VASC" numFmtId="0">
      <sharedItems containsSemiMixedTypes="0" containsString="0" containsNumber="1" minValue="0" maxValue="24.4"/>
    </cacheField>
  </cacheFields>
  <extLst>
    <ext xmlns:x14="http://schemas.microsoft.com/office/spreadsheetml/2009/9/main" uri="{725AE2AE-9491-48be-B2B4-4EB974FC3084}">
      <x14:pivotCacheDefinition pivotCacheId="130732562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5">
  <r>
    <s v="PINEAPPLE"/>
    <s v="09064000723"/>
    <x v="0"/>
    <n v="24340523"/>
    <s v="OR-0030650638"/>
    <s v="NS.1638.0601NA.C0012"/>
    <n v="329"/>
    <s v="FISSO"/>
    <n v="23.95"/>
    <s v="Inviato"/>
    <s v="Attesa provisioning"/>
    <x v="0"/>
    <x v="0"/>
    <x v="0"/>
    <x v="0"/>
    <x v="0"/>
    <n v="0"/>
  </r>
  <r>
    <s v="GIOVANNA TATONE"/>
    <s v="TTNGNN83C41A662T"/>
    <x v="1"/>
    <n v="24375407"/>
    <s v="OR-0030623342"/>
    <s v="NR.1217.0601NA.C0003"/>
    <n v="20"/>
    <s v="FISSO E MOBILE"/>
    <n v="33.9"/>
    <s v="Inviato"/>
    <s v="Attesa provisioning"/>
    <x v="1"/>
    <x v="1"/>
    <x v="1"/>
    <x v="0"/>
    <x v="0"/>
    <n v="0"/>
  </r>
  <r>
    <s v="MARIA SANTA MARIANI"/>
    <s v="MRNMSN68L56C436M"/>
    <x v="1"/>
    <n v="24379721"/>
    <s v="OR-0030640016"/>
    <s v="NR.1217.0601NA.C0003"/>
    <n v="0"/>
    <s v="FISSO"/>
    <n v="27.95"/>
    <s v="Inviato"/>
    <s v="Attesa provisioning"/>
    <x v="2"/>
    <x v="1"/>
    <x v="1"/>
    <x v="0"/>
    <x v="0"/>
    <n v="0"/>
  </r>
  <r>
    <s v="FRANCESCO MASSARO"/>
    <s v="MSSFNC80M16A048W"/>
    <x v="1"/>
    <n v="24384367"/>
    <s v="OR-0030659976"/>
    <s v="NR.1217.0601NA.C0004"/>
    <n v="40"/>
    <s v="FISSO E MOBILE"/>
    <n v="43.85"/>
    <s v="Inviato"/>
    <s v="Attesa provisioning"/>
    <x v="3"/>
    <x v="1"/>
    <x v="2"/>
    <x v="0"/>
    <x v="0"/>
    <n v="0"/>
  </r>
  <r>
    <s v="MARIAGRAZIA PARADISO"/>
    <s v="PRDMGR88C58E038Y"/>
    <x v="1"/>
    <n v="20030402"/>
    <s v="OR-0030682786"/>
    <s v="NR.1217.0601NA.C0004"/>
    <n v="0"/>
    <s v="FISSO"/>
    <n v="23.95"/>
    <s v="Inviato"/>
    <s v="Attesa provisioning"/>
    <x v="4"/>
    <x v="1"/>
    <x v="2"/>
    <x v="0"/>
    <x v="0"/>
    <n v="0"/>
  </r>
  <r>
    <s v="LUCIA BINO"/>
    <s v="BNILCU90A57L049T"/>
    <x v="1"/>
    <n v="24379923"/>
    <s v="OR-0030640456"/>
    <s v="NR.1217.0601NA.C0013"/>
    <n v="0"/>
    <s v="FISSO"/>
    <n v="27.95"/>
    <s v="Inviato"/>
    <s v="Attesa provisioning"/>
    <x v="2"/>
    <x v="1"/>
    <x v="3"/>
    <x v="1"/>
    <x v="0"/>
    <n v="0"/>
  </r>
  <r>
    <s v="MICHELE PASTORE"/>
    <s v="PSTMHL99H02F027W"/>
    <x v="1"/>
    <n v="24365675"/>
    <s v="OR-0030581685"/>
    <s v="NR.1217.0601NA.C0127"/>
    <n v="0"/>
    <s v="FISSO"/>
    <n v="27.95"/>
    <s v="Inviato"/>
    <s v="Attesa provisioning"/>
    <x v="5"/>
    <x v="1"/>
    <x v="4"/>
    <x v="0"/>
    <x v="0"/>
    <n v="0"/>
  </r>
  <r>
    <s v="MICHELE RICCIARDI"/>
    <s v="RCCMHL59E14E946K"/>
    <x v="1"/>
    <n v="24372278"/>
    <s v="OR-0030610673"/>
    <s v="NR.1217.0601NA.C0159"/>
    <n v="20"/>
    <s v="FISSO E MOBILE"/>
    <n v="33.9"/>
    <s v="Inviato"/>
    <s v="In Lavorazione"/>
    <x v="6"/>
    <x v="1"/>
    <x v="5"/>
    <x v="0"/>
    <x v="0"/>
    <n v="0"/>
  </r>
  <r>
    <s v="DONATELLA DELL'ANNA"/>
    <s v="DLLDTL93C64E506W"/>
    <x v="1"/>
    <n v="24390378"/>
    <s v="OR-0030679070"/>
    <s v="NR.1217.0601NA.C0178"/>
    <n v="20"/>
    <s v="FISSO E MOBILE"/>
    <n v="33.9"/>
    <s v="Inviato"/>
    <s v="Attesa provisioning"/>
    <x v="7"/>
    <x v="1"/>
    <x v="6"/>
    <x v="2"/>
    <x v="0"/>
    <n v="0"/>
  </r>
  <r>
    <s v="CATERINA MIRI"/>
    <s v="MRICRN73L67C978R"/>
    <x v="1"/>
    <n v="24393343"/>
    <s v="OR-0030687594"/>
    <s v="NR.1217.0601NA.C0178"/>
    <n v="20"/>
    <s v="FISSO E MOBILE"/>
    <n v="33.9"/>
    <s v="Inviato"/>
    <s v="Attesa provisioning"/>
    <x v="4"/>
    <x v="1"/>
    <x v="6"/>
    <x v="2"/>
    <x v="0"/>
    <n v="0"/>
  </r>
  <r>
    <s v="POTITO FRONTUTO"/>
    <s v="FRNPTT81L17D643N"/>
    <x v="1"/>
    <n v="24393232"/>
    <s v="OR-0030687255"/>
    <s v="NR.1217.0601NA.C0222"/>
    <n v="0"/>
    <s v="FISSO"/>
    <n v="27.95"/>
    <s v="Inviato"/>
    <s v="In Lavorazione"/>
    <x v="4"/>
    <x v="1"/>
    <x v="7"/>
    <x v="3"/>
    <x v="0"/>
    <n v="0"/>
  </r>
  <r>
    <s v="GIUSEPPE RICCO"/>
    <s v="RCCGPP55T16A662J"/>
    <x v="1"/>
    <n v="23997185"/>
    <s v="OR-0030691135"/>
    <s v="NR.1217.0601NA.C0221"/>
    <n v="0"/>
    <s v="FISSO"/>
    <n v="23.95"/>
    <s v="Inviato"/>
    <s v="Attesa provisioning"/>
    <x v="8"/>
    <x v="1"/>
    <x v="8"/>
    <x v="0"/>
    <x v="0"/>
    <n v="0"/>
  </r>
  <r>
    <s v="OLHA RADCHENKO"/>
    <s v="RDCLHO86E44Z138W"/>
    <x v="1"/>
    <n v="24367627"/>
    <s v="OR-0030591729"/>
    <s v="NR.1217.0601NA.C0227"/>
    <n v="0"/>
    <s v="FISSO"/>
    <n v="27.95"/>
    <s v="Inviato"/>
    <s v="Attesa provisioning"/>
    <x v="9"/>
    <x v="1"/>
    <x v="9"/>
    <x v="3"/>
    <x v="0"/>
    <n v="0"/>
  </r>
  <r>
    <s v="FEDERICA CONIGLIO"/>
    <s v="CNGFRC98H42A662Z"/>
    <x v="1"/>
    <n v="24379477"/>
    <s v="OR-0030639003"/>
    <s v="NR.1217.0601NA.C0059"/>
    <n v="20"/>
    <s v="FISSO E MOBILE"/>
    <n v="33.9"/>
    <s v="Inviato"/>
    <s v="Attesa provisioning"/>
    <x v="2"/>
    <x v="1"/>
    <x v="10"/>
    <x v="0"/>
    <x v="0"/>
    <n v="0"/>
  </r>
  <r>
    <s v="MICHELA POLICASTRO"/>
    <s v="PLCMHL90T55H501C"/>
    <x v="1"/>
    <n v="24393876"/>
    <s v="OR-0030690082"/>
    <s v="NR.1217.0601NA.C0142"/>
    <n v="20"/>
    <s v="FISSO E MOBILE"/>
    <n v="33.9"/>
    <s v="Inviato"/>
    <s v="Attesa provisioning"/>
    <x v="8"/>
    <x v="1"/>
    <x v="11"/>
    <x v="0"/>
    <x v="0"/>
    <n v="0"/>
  </r>
  <r>
    <s v="COSIMO MURCIANO"/>
    <s v="MRCCSM85E09C978N"/>
    <x v="1"/>
    <n v="9224979"/>
    <s v="OR-0030694182"/>
    <s v="NR.1217.0601NA.C0150"/>
    <n v="0"/>
    <s v="FISSO"/>
    <n v="23.95"/>
    <s v="Inviato"/>
    <s v="Attesa provisioning"/>
    <x v="8"/>
    <x v="1"/>
    <x v="12"/>
    <x v="2"/>
    <x v="0"/>
    <n v="0"/>
  </r>
  <r>
    <s v="ALBERTO SERIO"/>
    <s v="SRELRT90A28I119T"/>
    <x v="1"/>
    <n v="24377811"/>
    <s v="OR-0030634860"/>
    <s v="NR.1217.0601NA.C0173"/>
    <n v="0"/>
    <s v="FISSO"/>
    <n v="27.95"/>
    <s v="Inviato"/>
    <s v="Attesa provisioning"/>
    <x v="2"/>
    <x v="1"/>
    <x v="13"/>
    <x v="2"/>
    <x v="0"/>
    <n v="0"/>
  </r>
  <r>
    <s v="LORENZO MARIA DICKMANN"/>
    <s v="DCKLNZ96P24F205B"/>
    <x v="1"/>
    <n v="24365938"/>
    <s v="OR-0030582426"/>
    <s v="NR.1217.0601NA.C0221"/>
    <n v="0"/>
    <s v="FISSO"/>
    <n v="27.95"/>
    <s v="Inviato"/>
    <s v="Attesa provisioning"/>
    <x v="5"/>
    <x v="1"/>
    <x v="8"/>
    <x v="0"/>
    <x v="0"/>
    <n v="0"/>
  </r>
  <r>
    <s v="CARLO ACHILLEA"/>
    <s v="CHLCRL81C02G786J"/>
    <x v="1"/>
    <n v="24363952"/>
    <s v="OR-0030577657"/>
    <s v="NR.1217.0601NA.C0251"/>
    <n v="20"/>
    <s v="FISSO E MOBILE"/>
    <n v="32.9"/>
    <s v="Inviato"/>
    <s v="Attesa provisioning"/>
    <x v="5"/>
    <x v="1"/>
    <x v="14"/>
    <x v="0"/>
    <x v="0"/>
    <n v="0"/>
  </r>
  <r>
    <s v="FRANCESCA DISTEFANO"/>
    <s v="DSTFNC72R71C514V"/>
    <x v="1"/>
    <n v="24374624"/>
    <s v="OR-0030620527"/>
    <s v="NR.1217.0601NA.C0259"/>
    <n v="20"/>
    <s v="FISSO E MOBILE"/>
    <n v="33.9"/>
    <s v="Inviato"/>
    <s v="Attesa provisioning"/>
    <x v="10"/>
    <x v="1"/>
    <x v="15"/>
    <x v="3"/>
    <x v="0"/>
    <n v="0"/>
  </r>
  <r>
    <s v="VINCENZA CANTANNA"/>
    <s v="CNTVCN63E46C741K"/>
    <x v="1"/>
    <n v="24363128"/>
    <s v="OR-0030575865"/>
    <s v="NR.1217.0601NA.C0003"/>
    <n v="20"/>
    <s v="FISSO E MOBILE"/>
    <n v="32.9"/>
    <s v="Inviato"/>
    <s v="Attesa provisioning"/>
    <x v="5"/>
    <x v="1"/>
    <x v="1"/>
    <x v="0"/>
    <x v="0"/>
    <n v="0"/>
  </r>
  <r>
    <s v="SABATINA MUCCILLI"/>
    <s v="MCCSTN49P54F220O"/>
    <x v="1"/>
    <n v="24383523"/>
    <s v="OR-0030654535"/>
    <s v="NR.1217.0601NA.C0022"/>
    <n v="20"/>
    <s v="FISSO E MOBILE"/>
    <n v="33.9"/>
    <s v="Inviato"/>
    <s v="Attesa provisioning"/>
    <x v="0"/>
    <x v="1"/>
    <x v="16"/>
    <x v="0"/>
    <x v="0"/>
    <n v="0"/>
  </r>
  <r>
    <s v="HICHAM SAMSAM"/>
    <s v="SMSHHM84A01Z330C"/>
    <x v="1"/>
    <n v="24380059"/>
    <s v="OR-0030640753"/>
    <s v="NR.1217.0601NA.C0013"/>
    <n v="0"/>
    <s v="FISSO"/>
    <n v="27.95"/>
    <s v="Completato"/>
    <s v="Completato"/>
    <x v="2"/>
    <x v="1"/>
    <x v="3"/>
    <x v="1"/>
    <x v="0"/>
    <n v="0"/>
  </r>
  <r>
    <s v="ALBA SCARANO"/>
    <s v="SCRLBA99P44F027A"/>
    <x v="1"/>
    <n v="24366313"/>
    <s v="OR-0030583156"/>
    <s v="NR.1217.0601NA.C0127"/>
    <n v="0"/>
    <s v="FISSO"/>
    <n v="27.95"/>
    <s v="Inviato"/>
    <s v="Attesa provisioning"/>
    <x v="5"/>
    <x v="1"/>
    <x v="4"/>
    <x v="0"/>
    <x v="0"/>
    <n v="0"/>
  </r>
  <r>
    <s v="MICHELE COGNETTI"/>
    <s v="CGNMHL06R15B619I"/>
    <x v="1"/>
    <n v="24363994"/>
    <s v="OR-0030577854"/>
    <s v="NR.1217.0601NA.C0159"/>
    <n v="0"/>
    <s v="FISSO"/>
    <n v="27.95"/>
    <s v="Inviato"/>
    <s v="Attesa provisioning"/>
    <x v="5"/>
    <x v="1"/>
    <x v="5"/>
    <x v="0"/>
    <x v="0"/>
    <n v="0"/>
  </r>
  <r>
    <s v="CARMELA MONACO"/>
    <s v="MNCCML95P45F784W"/>
    <x v="1"/>
    <n v="24393313"/>
    <s v="OR-0030687486"/>
    <s v="NR.1217.0601NA.C0168"/>
    <n v="0"/>
    <s v="FISSO"/>
    <n v="27.95"/>
    <s v="Inviato"/>
    <s v="Attesa provisioning"/>
    <x v="4"/>
    <x v="1"/>
    <x v="17"/>
    <x v="2"/>
    <x v="0"/>
    <n v="0"/>
  </r>
  <r>
    <s v="MARIA TERESA AFANO"/>
    <s v="FNAMTR90M62B963Z"/>
    <x v="1"/>
    <n v="24393996"/>
    <s v="OR-0030690367"/>
    <s v="NR.1217.0601NA.C0198"/>
    <n v="0"/>
    <s v="FISSO"/>
    <n v="27.95"/>
    <s v="Inviato"/>
    <s v="In Lavorazione"/>
    <x v="8"/>
    <x v="1"/>
    <x v="18"/>
    <x v="0"/>
    <x v="0"/>
    <n v="0"/>
  </r>
  <r>
    <s v="TIZIANA RUSSO"/>
    <s v="RSSTZN90P67H926D"/>
    <x v="1"/>
    <n v="24218612"/>
    <s v="OR-0030687741"/>
    <s v="NR.1217.0601NA.C0215"/>
    <n v="0"/>
    <s v="FISSO"/>
    <n v="23.95"/>
    <s v="Inviato"/>
    <s v="In Lavorazione"/>
    <x v="4"/>
    <x v="1"/>
    <x v="19"/>
    <x v="3"/>
    <x v="0"/>
    <n v="0"/>
  </r>
  <r>
    <s v="MICHAEL DURANTE"/>
    <s v="DRNMHL00R20B506V"/>
    <x v="1"/>
    <n v="24379123"/>
    <s v="OR-0030638319"/>
    <s v="NR.1217.0601NA.C0250"/>
    <n v="0"/>
    <s v="FISSO"/>
    <n v="27.95"/>
    <s v="Completato"/>
    <s v="Completato"/>
    <x v="2"/>
    <x v="1"/>
    <x v="20"/>
    <x v="0"/>
    <x v="0"/>
    <n v="0"/>
  </r>
  <r>
    <s v="CATERINA SCHITTULLI"/>
    <s v="SCHCRN60L62G131P"/>
    <x v="1"/>
    <n v="24390969"/>
    <s v="OR-0030681663"/>
    <s v="NR.1217.0601NA.C0259"/>
    <n v="20"/>
    <s v="FISSO E MOBILE"/>
    <n v="33.9"/>
    <s v="Inviato"/>
    <s v="In Lavorazione"/>
    <x v="4"/>
    <x v="1"/>
    <x v="15"/>
    <x v="3"/>
    <x v="0"/>
    <n v="0"/>
  </r>
  <r>
    <s v="LUCA MUSCOGIURI"/>
    <s v="MSCLCU01M05G187L"/>
    <x v="1"/>
    <n v="24361841"/>
    <s v="OR-0030569249"/>
    <s v="NR.1217.0601NA.C0003"/>
    <n v="20"/>
    <s v="FISSO E MOBILE"/>
    <n v="32.9"/>
    <s v="Completato"/>
    <s v="Completato"/>
    <x v="11"/>
    <x v="1"/>
    <x v="1"/>
    <x v="0"/>
    <x v="0"/>
    <n v="0"/>
  </r>
  <r>
    <s v="VINCENZO GERRI"/>
    <s v="GRRVCN81A05A048H"/>
    <x v="1"/>
    <n v="24375276"/>
    <s v="OR-0030623059"/>
    <s v="NR.1217.0601NA.C0012"/>
    <n v="20"/>
    <s v="FISSO E MOBILE"/>
    <n v="33.9"/>
    <s v="Completato"/>
    <s v="Completato"/>
    <x v="1"/>
    <x v="1"/>
    <x v="0"/>
    <x v="0"/>
    <x v="0"/>
    <n v="0"/>
  </r>
  <r>
    <s v="LUIGI ANGIONE"/>
    <s v="NGNLGU80C03B619F"/>
    <x v="1"/>
    <n v="24363941"/>
    <s v="OR-0030577539"/>
    <s v="NR.1217.0601NA.C0232"/>
    <n v="20"/>
    <s v="FISSO E MOBILE"/>
    <n v="32.9"/>
    <s v="Inviato"/>
    <s v="Attesa provisioning"/>
    <x v="5"/>
    <x v="1"/>
    <x v="21"/>
    <x v="0"/>
    <x v="0"/>
    <n v="0"/>
  </r>
  <r>
    <s v="FRANCESCO GIANNONE"/>
    <s v="GNNFNC66M18B619Q"/>
    <x v="1"/>
    <n v="24384052"/>
    <s v="OR-0030658731"/>
    <s v="NR.1217.0601NA.C0232"/>
    <n v="40"/>
    <s v="FISSO E MOBILE"/>
    <n v="43.85"/>
    <s v="Inviato"/>
    <s v="Inviato in Fatturazione"/>
    <x v="3"/>
    <x v="1"/>
    <x v="21"/>
    <x v="0"/>
    <x v="0"/>
    <n v="0"/>
  </r>
  <r>
    <s v="RAFFAELE COLONNA"/>
    <s v="CLNRFL76E07A662W"/>
    <x v="1"/>
    <n v="24372299"/>
    <s v="OR-0030610770"/>
    <s v="NR.1217.0601NA.C0248"/>
    <n v="0"/>
    <s v="FISSO"/>
    <n v="27.95"/>
    <s v="Completato"/>
    <s v="Completato"/>
    <x v="6"/>
    <x v="1"/>
    <x v="22"/>
    <x v="0"/>
    <x v="0"/>
    <n v="0"/>
  </r>
  <r>
    <s v="LEONARDO BIRARDI MAZZONE"/>
    <s v="BRRLRD54S14B923N"/>
    <x v="1"/>
    <n v="24377421"/>
    <s v="OR-0030632341"/>
    <s v="NR.1217.0601NA.C0250"/>
    <n v="20"/>
    <s v="FISSO E MOBILE"/>
    <n v="33.9"/>
    <s v="Inviato"/>
    <s v="Attesa provisioning"/>
    <x v="2"/>
    <x v="1"/>
    <x v="20"/>
    <x v="0"/>
    <x v="0"/>
    <n v="0"/>
  </r>
  <r>
    <s v="ROSARIO PIO COLANGIONE"/>
    <s v="CLNRRP87A13C514G"/>
    <x v="1"/>
    <n v="24390411"/>
    <s v="OR-0030679122"/>
    <s v="NR.1217.0601NA.C0259"/>
    <n v="20"/>
    <s v="FISSO E MOBILE"/>
    <n v="33.9"/>
    <s v="Inviato"/>
    <s v="In Lavorazione"/>
    <x v="7"/>
    <x v="1"/>
    <x v="15"/>
    <x v="3"/>
    <x v="0"/>
    <n v="0"/>
  </r>
  <r>
    <s v="MARIA ASSUNTA CIAVARELLA"/>
    <s v="CVRMSS72E50Z133P"/>
    <x v="1"/>
    <n v="24374648"/>
    <s v="OR-0030620692"/>
    <s v="NR.1217.0601NA.C0012"/>
    <n v="0"/>
    <s v="FISSO"/>
    <n v="27.95"/>
    <s v="Inviato"/>
    <s v="Inviato in Fatturazione"/>
    <x v="10"/>
    <x v="1"/>
    <x v="0"/>
    <x v="0"/>
    <x v="0"/>
    <n v="0"/>
  </r>
  <r>
    <s v="KATIA LABIANCA"/>
    <s v="LBNKTA89M61B619J"/>
    <x v="1"/>
    <n v="24364412"/>
    <s v="OR-0030578797"/>
    <s v="NR.1217.0601NA.C0159"/>
    <n v="0"/>
    <s v="FISSO"/>
    <n v="27.95"/>
    <s v="Inviato"/>
    <s v="Attesa provisioning"/>
    <x v="5"/>
    <x v="1"/>
    <x v="5"/>
    <x v="0"/>
    <x v="0"/>
    <n v="0"/>
  </r>
  <r>
    <s v="PASQUALE RIZZO"/>
    <s v="RZZPQL55T13G251O"/>
    <x v="1"/>
    <n v="24394372"/>
    <s v="OR-0030690992"/>
    <s v="NR.1217.0601NA.C0168"/>
    <n v="0"/>
    <s v="FISSO"/>
    <n v="27.95"/>
    <s v="Inviato"/>
    <s v="In Lavorazione"/>
    <x v="8"/>
    <x v="1"/>
    <x v="17"/>
    <x v="2"/>
    <x v="0"/>
    <n v="0"/>
  </r>
  <r>
    <s v="VIRGINIA MAROTTA"/>
    <s v="MRTVGN05S57A662I"/>
    <x v="1"/>
    <n v="24372689"/>
    <s v="OR-0030614312"/>
    <s v="NR.1217.0601NA.C0003"/>
    <n v="0"/>
    <s v="FISSO"/>
    <n v="27.95"/>
    <s v="Inviato"/>
    <s v="Attesa provisioning"/>
    <x v="10"/>
    <x v="1"/>
    <x v="1"/>
    <x v="0"/>
    <x v="0"/>
    <n v="0"/>
  </r>
  <r>
    <s v="VALENTINA FLACE"/>
    <s v="FLCVNT99C56E038P"/>
    <x v="1"/>
    <n v="24362141"/>
    <s v="OR-0030569869"/>
    <s v="NR.1217.0601NA.C0004"/>
    <n v="0"/>
    <s v="FISSO"/>
    <n v="27.95"/>
    <s v="Inviato"/>
    <s v="Attesa provisioning"/>
    <x v="11"/>
    <x v="1"/>
    <x v="2"/>
    <x v="0"/>
    <x v="0"/>
    <n v="0"/>
  </r>
  <r>
    <s v="LUCILLA MARTINELLI"/>
    <s v="MRTLLL98M58B619C"/>
    <x v="1"/>
    <n v="24366995"/>
    <s v="OR-0030587007"/>
    <s v="NR.1217.0601NA.C0022"/>
    <n v="20"/>
    <s v="FISSO E MOBILE"/>
    <n v="32.9"/>
    <s v="Inviato"/>
    <s v="Attesa provisioning"/>
    <x v="9"/>
    <x v="1"/>
    <x v="16"/>
    <x v="0"/>
    <x v="0"/>
    <n v="0"/>
  </r>
  <r>
    <s v="LOREDANA DURANTE"/>
    <s v="DRNLDN87R57C619O"/>
    <x v="1"/>
    <n v="24394467"/>
    <s v="OR-0030691414"/>
    <s v="NR.1217.0601NA.C0059"/>
    <n v="0"/>
    <s v="FISSO"/>
    <n v="27.95"/>
    <s v="Inviato"/>
    <s v="Attesa provisioning"/>
    <x v="8"/>
    <x v="1"/>
    <x v="10"/>
    <x v="0"/>
    <x v="0"/>
    <n v="0"/>
  </r>
  <r>
    <s v="MATTEO ELIA CAPUTO"/>
    <s v="CPTMTL97A21H926R"/>
    <x v="1"/>
    <n v="24387134"/>
    <s v="OR-0030667367"/>
    <s v="NR.1217.0601NA.C0050"/>
    <n v="20"/>
    <s v="FISSO E MOBILE"/>
    <n v="33.9"/>
    <s v="Inviato"/>
    <s v="In Lavorazione"/>
    <x v="3"/>
    <x v="1"/>
    <x v="23"/>
    <x v="3"/>
    <x v="0"/>
    <n v="0"/>
  </r>
  <r>
    <s v="DOMENICO GARRIPOLI"/>
    <s v="GRRDNC71S01L738P"/>
    <x v="1"/>
    <n v="24387199"/>
    <s v="OR-0030667601"/>
    <s v="NR.1217.0601NA.C0186"/>
    <n v="0"/>
    <s v="FISSO"/>
    <n v="27.95"/>
    <s v="Inviato"/>
    <s v="Attesa provisioning"/>
    <x v="3"/>
    <x v="1"/>
    <x v="24"/>
    <x v="0"/>
    <x v="0"/>
    <n v="0"/>
  </r>
  <r>
    <s v="LUCREZIA PAPARELLA"/>
    <s v="PPRLRZ92P44E223X"/>
    <x v="1"/>
    <n v="24362863"/>
    <s v="OR-0030571629"/>
    <s v="NR.1217.0601NA.C0144"/>
    <n v="0"/>
    <s v="FISSO"/>
    <n v="27.95"/>
    <s v="Inviato"/>
    <s v="Attesa provisioning"/>
    <x v="11"/>
    <x v="1"/>
    <x v="25"/>
    <x v="0"/>
    <x v="0"/>
    <n v="0"/>
  </r>
  <r>
    <s v="TEODORO IPPOLITO"/>
    <s v="PPLTDR58H20A463Y"/>
    <x v="1"/>
    <n v="24383659"/>
    <s v="OR-0030654813"/>
    <s v="NR.1217.0601NA.C0222"/>
    <n v="0"/>
    <s v="FISSO"/>
    <n v="27.95"/>
    <s v="In attesa di approvazione"/>
    <s v="Parcheggiato"/>
    <x v="0"/>
    <x v="1"/>
    <x v="7"/>
    <x v="3"/>
    <x v="0"/>
    <n v="0"/>
  </r>
  <r>
    <s v="SARINA DE ICCO"/>
    <s v="DCCSRN75B62B936W"/>
    <x v="1"/>
    <n v="24371964"/>
    <s v="OR-0030609674"/>
    <s v="NR.1217.0601NA.C0243"/>
    <n v="0"/>
    <s v="FISSO"/>
    <n v="27.95"/>
    <s v="Inviato"/>
    <s v="In Lavorazione"/>
    <x v="6"/>
    <x v="1"/>
    <x v="26"/>
    <x v="2"/>
    <x v="0"/>
    <n v="0"/>
  </r>
  <r>
    <s v="NICCOLO PELLEGRINI"/>
    <s v="PLLNCL99A03B619T"/>
    <x v="1"/>
    <n v="24374600"/>
    <s v="OR-0030620264"/>
    <s v="NR.1217.0601NA.C0259"/>
    <n v="20"/>
    <s v="FISSO E MOBILE"/>
    <n v="33.9"/>
    <s v="Inviato"/>
    <s v="Attesa provisioning"/>
    <x v="10"/>
    <x v="1"/>
    <x v="15"/>
    <x v="3"/>
    <x v="0"/>
    <n v="0"/>
  </r>
  <r>
    <s v="GIUSEPPINA DE GIGLIO"/>
    <s v="DGGGPP65S42A662P"/>
    <x v="1"/>
    <n v="24375304"/>
    <s v="OR-0030623086"/>
    <s v="NR.1217.0601NA.C0003"/>
    <n v="20"/>
    <s v="FISSO E MOBILE"/>
    <n v="33.9"/>
    <s v="Completato"/>
    <s v="Completato"/>
    <x v="1"/>
    <x v="1"/>
    <x v="1"/>
    <x v="0"/>
    <x v="0"/>
    <n v="0"/>
  </r>
  <r>
    <s v="ALDA COLELLA"/>
    <s v="CLLLDA80L50B774X"/>
    <x v="1"/>
    <n v="24383068"/>
    <s v="OR-0030653571"/>
    <s v="NR.1217.0601NA.C0003"/>
    <n v="20"/>
    <s v="FISSO E MOBILE"/>
    <n v="33.9"/>
    <s v="Inviato"/>
    <s v="Attesa provisioning"/>
    <x v="0"/>
    <x v="1"/>
    <x v="1"/>
    <x v="0"/>
    <x v="0"/>
    <n v="0"/>
  </r>
  <r>
    <s v="MARIA DEL VECCHIO"/>
    <s v="DLVMRA69S67I158J"/>
    <x v="1"/>
    <n v="24390157"/>
    <s v="OR-0030678573"/>
    <s v="NR.1217.0601NA.C0139"/>
    <n v="0"/>
    <s v="FISSO"/>
    <n v="27.95"/>
    <s v="Inviato"/>
    <s v="In Lavorazione"/>
    <x v="7"/>
    <x v="1"/>
    <x v="27"/>
    <x v="3"/>
    <x v="0"/>
    <n v="0"/>
  </r>
  <r>
    <s v="FRANCESCA MARIA ABBATTISTA"/>
    <s v="BBTFNC91E47L328D"/>
    <x v="1"/>
    <n v="24369256"/>
    <s v="OR-0030596414"/>
    <s v="NR.1217.0601NA.C0123"/>
    <n v="20"/>
    <s v="FISSO E MOBILE"/>
    <n v="32.9"/>
    <s v="Completato"/>
    <s v="Completato"/>
    <x v="9"/>
    <x v="1"/>
    <x v="28"/>
    <x v="0"/>
    <x v="0"/>
    <n v="0"/>
  </r>
  <r>
    <s v="SHPRESA ELMADHI"/>
    <s v="LMDSPR99C68Z100R"/>
    <x v="1"/>
    <n v="24366163"/>
    <s v="OR-0030582855"/>
    <s v="NR.1217.0601NA.C0221"/>
    <n v="20"/>
    <s v="FISSO E MOBILE"/>
    <n v="32.9"/>
    <s v="Completato"/>
    <s v="Completato"/>
    <x v="5"/>
    <x v="1"/>
    <x v="8"/>
    <x v="0"/>
    <x v="0"/>
    <n v="0"/>
  </r>
  <r>
    <s v="SERAFINA MARZULLI"/>
    <s v="MRZSFN32A58A662G"/>
    <x v="1"/>
    <n v="24394159"/>
    <s v="OR-0030690844"/>
    <s v="NR.1217.0601NA.C0221"/>
    <n v="0"/>
    <s v="FISSO"/>
    <n v="27.95"/>
    <s v="Inviato"/>
    <s v="Attesa provisioning"/>
    <x v="8"/>
    <x v="1"/>
    <x v="8"/>
    <x v="0"/>
    <x v="0"/>
    <n v="0"/>
  </r>
  <r>
    <s v="VALERIA CORDOVA"/>
    <s v="CRDVLR89E47B619L"/>
    <x v="1"/>
    <n v="24380092"/>
    <s v="OR-0030640913"/>
    <s v="NR.1217.0601NA.C0232"/>
    <n v="20"/>
    <s v="FISSO E MOBILE"/>
    <n v="33.9"/>
    <s v="Inviato"/>
    <s v="Attesa provisioning"/>
    <x v="2"/>
    <x v="1"/>
    <x v="21"/>
    <x v="0"/>
    <x v="0"/>
    <n v="0"/>
  </r>
  <r>
    <s v="MICHELE MACARIO"/>
    <s v="MCRMHL87D14C514G"/>
    <x v="1"/>
    <n v="24391455"/>
    <s v="OR-0030682770"/>
    <s v="NR.1217.0601NA.C0259"/>
    <n v="20"/>
    <s v="FISSO E MOBILE"/>
    <n v="33.9"/>
    <s v="Inviato"/>
    <s v="In Lavorazione"/>
    <x v="4"/>
    <x v="1"/>
    <x v="15"/>
    <x v="3"/>
    <x v="0"/>
    <n v="0"/>
  </r>
  <r>
    <s v="ROSANNA MAZZARELLA"/>
    <s v="MZZRNN66S68C514R"/>
    <x v="1"/>
    <n v="24393323"/>
    <s v="OR-0030687519"/>
    <s v="NR.1217.0601NA.C0259"/>
    <n v="20"/>
    <s v="FISSO E MOBILE"/>
    <n v="33.9"/>
    <s v="Inviato"/>
    <s v="Attesa provisioning"/>
    <x v="4"/>
    <x v="1"/>
    <x v="15"/>
    <x v="3"/>
    <x v="0"/>
    <n v="0"/>
  </r>
  <r>
    <s v="ORONZO LEONE"/>
    <s v="LNERNZ86S30I330S"/>
    <x v="1"/>
    <n v="24380926"/>
    <s v="OR-0030648117"/>
    <s v="NR.1217.0601NA.C0004"/>
    <n v="20"/>
    <s v="FISSO E MOBILE"/>
    <n v="35.9"/>
    <s v="Inviato"/>
    <s v="Attesa provisioning"/>
    <x v="0"/>
    <x v="1"/>
    <x v="2"/>
    <x v="0"/>
    <x v="0"/>
    <n v="0"/>
  </r>
  <r>
    <s v="RAFFAELE PORFIDO"/>
    <s v="PRFRFL00H13I330P"/>
    <x v="1"/>
    <n v="24389981"/>
    <s v="OR-0030678177"/>
    <s v="NR.1217.0601NA.C0004"/>
    <n v="0"/>
    <s v="FISSO"/>
    <n v="27.95"/>
    <s v="Inviato"/>
    <s v="Attesa provisioning"/>
    <x v="7"/>
    <x v="1"/>
    <x v="2"/>
    <x v="0"/>
    <x v="0"/>
    <n v="0"/>
  </r>
  <r>
    <s v="LEONARDO BALENZANO"/>
    <s v="BLNLRD74S19A048C"/>
    <x v="1"/>
    <n v="24379847"/>
    <s v="OR-0030640217"/>
    <s v="NR.1217.0601NA.C0012"/>
    <n v="20"/>
    <s v="FISSO E MOBILE"/>
    <n v="33.9"/>
    <s v="Inviato"/>
    <s v="Attesa provisioning"/>
    <x v="2"/>
    <x v="1"/>
    <x v="0"/>
    <x v="0"/>
    <x v="0"/>
    <n v="0"/>
  </r>
  <r>
    <s v="ALBERTO TRAMACERE"/>
    <s v="TRMLRT01E06D862Q"/>
    <x v="1"/>
    <n v="24393480"/>
    <s v="OR-0030687834"/>
    <s v="NR.1217.0601NA.C0088"/>
    <n v="20"/>
    <s v="FISSO E MOBILE"/>
    <n v="33.9"/>
    <s v="Inviato"/>
    <s v="Attesa provisioning"/>
    <x v="4"/>
    <x v="1"/>
    <x v="29"/>
    <x v="2"/>
    <x v="0"/>
    <n v="0"/>
  </r>
  <r>
    <s v="VINCENZO TENACE"/>
    <s v="TNCVCN73H22I158R"/>
    <x v="1"/>
    <n v="24373098"/>
    <s v="OR-0030615432"/>
    <s v="NR.1217.0601NA.C0139"/>
    <n v="0"/>
    <s v="FISSO"/>
    <n v="27.95"/>
    <s v="Inviato"/>
    <s v="Attesa provisioning"/>
    <x v="10"/>
    <x v="1"/>
    <x v="27"/>
    <x v="3"/>
    <x v="0"/>
    <n v="0"/>
  </r>
  <r>
    <s v="CATALDO CAMPIONE"/>
    <s v="CMPCLD87H10C983I"/>
    <x v="1"/>
    <n v="24362651"/>
    <s v="OR-0030571024"/>
    <s v="NR.1217.0601NA.C0184"/>
    <n v="20"/>
    <s v="FISSO E MOBILE"/>
    <n v="32.9"/>
    <s v="Inviato"/>
    <s v="Attesa provisioning"/>
    <x v="11"/>
    <x v="1"/>
    <x v="30"/>
    <x v="0"/>
    <x v="0"/>
    <n v="0"/>
  </r>
  <r>
    <s v="CINZIA GIOVANNA MASTRODONATO"/>
    <s v="MSTCZG85R45B619M"/>
    <x v="1"/>
    <n v="24367430"/>
    <s v="OR-0030590069"/>
    <s v="NR.1217.0601NA.C0159"/>
    <n v="0"/>
    <s v="FISSO"/>
    <n v="27.95"/>
    <s v="Inviato"/>
    <s v="Attesa provisioning"/>
    <x v="9"/>
    <x v="1"/>
    <x v="5"/>
    <x v="0"/>
    <x v="0"/>
    <n v="0"/>
  </r>
  <r>
    <s v="LEANDRO DAMIAN ALMEYRA VENA"/>
    <s v="LMYLDR01B28Z600J"/>
    <x v="1"/>
    <n v="24374942"/>
    <s v="OR-0030622173"/>
    <s v="NR.1217.0601NA.C0178"/>
    <n v="20"/>
    <s v="FISSO E MOBILE"/>
    <n v="33.9"/>
    <s v="Inviato"/>
    <s v="Attesa provisioning"/>
    <x v="1"/>
    <x v="1"/>
    <x v="6"/>
    <x v="2"/>
    <x v="0"/>
    <n v="0"/>
  </r>
  <r>
    <s v="ANTONIA MARIA LUNGU"/>
    <s v="LNGNNM01L51Z129G"/>
    <x v="1"/>
    <n v="24368869"/>
    <s v="OR-0030595607"/>
    <s v="NR.1217.0601NA.C0012"/>
    <n v="21"/>
    <s v="MOBILE"/>
    <n v="10.95"/>
    <s v="Completato"/>
    <s v="Completato"/>
    <x v="9"/>
    <x v="2"/>
    <x v="0"/>
    <x v="0"/>
    <x v="1"/>
    <n v="20"/>
  </r>
  <r>
    <s v="ELISABETTA PAPPALEPORE"/>
    <s v="PPPLBT57H54A662Y"/>
    <x v="1"/>
    <n v="24372395"/>
    <s v="OR-0030613197"/>
    <s v="NR.1217.0601NA.C0128"/>
    <n v="22"/>
    <s v="MOBILE"/>
    <n v="11.95"/>
    <s v="Completato"/>
    <s v="Completato"/>
    <x v="10"/>
    <x v="2"/>
    <x v="31"/>
    <x v="0"/>
    <x v="1"/>
    <n v="20"/>
  </r>
  <r>
    <s v="ALESSANDRO LAMARINA"/>
    <s v="LMRLSN80B19B180H"/>
    <x v="1"/>
    <n v="24393062"/>
    <s v="OR-0030687075"/>
    <s v="NR.1217.0601NA"/>
    <n v="22"/>
    <s v="MOBILE"/>
    <n v="11.95"/>
    <s v="Completato"/>
    <s v="Completato"/>
    <x v="4"/>
    <x v="2"/>
    <x v="32"/>
    <x v="4"/>
    <x v="1"/>
    <n v="20"/>
  </r>
  <r>
    <s v="SEVERINO D ERRICO"/>
    <s v="DRRSRN83R02I158I"/>
    <x v="1"/>
    <n v="24377562"/>
    <s v="OR-0030633126"/>
    <s v="NR.1217.0601NA.C0266"/>
    <n v="22"/>
    <s v="MOBILE"/>
    <n v="11.95"/>
    <s v="Completato"/>
    <s v="Completato"/>
    <x v="2"/>
    <x v="2"/>
    <x v="33"/>
    <x v="3"/>
    <x v="1"/>
    <n v="20"/>
  </r>
  <r>
    <s v="MICHELE TASSIELLO"/>
    <s v="TSSMHL52L12I053A"/>
    <x v="1"/>
    <n v="24375436"/>
    <s v="OR-0030623439"/>
    <s v="NR.1217.0601NA.C0012"/>
    <n v="22"/>
    <s v="MOBILE"/>
    <n v="11.95"/>
    <s v="Completato"/>
    <s v="Completato"/>
    <x v="1"/>
    <x v="2"/>
    <x v="0"/>
    <x v="0"/>
    <x v="1"/>
    <n v="20"/>
  </r>
  <r>
    <s v="MAIKOL BEVILACQUA"/>
    <s v="BVLMKL02A02L628C"/>
    <x v="1"/>
    <n v="24367048"/>
    <s v="OR-0030587158"/>
    <s v="NR.1217.0601NA.C0180"/>
    <n v="21"/>
    <s v="MOBILE"/>
    <n v="10.95"/>
    <s v="Completato"/>
    <s v="Completato"/>
    <x v="9"/>
    <x v="2"/>
    <x v="34"/>
    <x v="0"/>
    <x v="1"/>
    <n v="20"/>
  </r>
  <r>
    <s v="FAITH MAFORO"/>
    <s v="MFRFTH85A42Z337N"/>
    <x v="1"/>
    <n v="24372215"/>
    <s v="OR-0030610531"/>
    <s v="NR.1217.0601NA.C0019"/>
    <n v="22"/>
    <s v="MOBILE"/>
    <n v="11.95"/>
    <s v="Completato"/>
    <s v="Completato"/>
    <x v="6"/>
    <x v="2"/>
    <x v="35"/>
    <x v="0"/>
    <x v="1"/>
    <n v="20"/>
  </r>
  <r>
    <s v="ROSALBA RICCIARDELLA"/>
    <s v="RCCRLB87E66L418D"/>
    <x v="1"/>
    <n v="24380052"/>
    <s v="OR-0030640772"/>
    <s v="NR.1217.0601NA.C0097"/>
    <n v="22"/>
    <s v="MOBILE"/>
    <n v="11.95"/>
    <s v="Completato"/>
    <s v="Completato"/>
    <x v="2"/>
    <x v="2"/>
    <x v="36"/>
    <x v="0"/>
    <x v="1"/>
    <n v="20"/>
  </r>
  <r>
    <s v="ALESSIA LUISA PIA SPLENDINO"/>
    <s v="SPLLSL00B63I158H"/>
    <x v="1"/>
    <n v="24360037"/>
    <s v="OR-0030563462"/>
    <s v="NR.1217.0601NA.C0266"/>
    <n v="21"/>
    <s v="MOBILE"/>
    <n v="10.95"/>
    <s v="Completato"/>
    <s v="Completato"/>
    <x v="11"/>
    <x v="2"/>
    <x v="33"/>
    <x v="3"/>
    <x v="1"/>
    <n v="20"/>
  </r>
  <r>
    <s v="RAIMON CELESTIN ALEXANDRU"/>
    <s v="LXNRNC00L07Z129A"/>
    <x v="1"/>
    <n v="24387661"/>
    <s v="OR-0030671928"/>
    <s v="NR.1217.0601NA.C0155"/>
    <n v="22"/>
    <s v="MOBILE"/>
    <n v="11.95"/>
    <s v="Completato"/>
    <s v="Completato"/>
    <x v="7"/>
    <x v="2"/>
    <x v="37"/>
    <x v="3"/>
    <x v="1"/>
    <n v="20"/>
  </r>
  <r>
    <s v="ANTONIO SASSO"/>
    <s v="SSSNTN74C05I158X"/>
    <x v="1"/>
    <n v="24373117"/>
    <s v="OR-0030615402"/>
    <s v="NR.1217.0601NA.C0266"/>
    <n v="22"/>
    <s v="MOBILE"/>
    <n v="11.95"/>
    <s v="Completato"/>
    <s v="Completato"/>
    <x v="10"/>
    <x v="2"/>
    <x v="33"/>
    <x v="3"/>
    <x v="1"/>
    <n v="20"/>
  </r>
  <r>
    <s v="ELISABETTA ANNA DI GIORGIO"/>
    <s v="DGRLBT92R42D643Q"/>
    <x v="1"/>
    <n v="24373274"/>
    <s v="OR-0030615959"/>
    <s v="NR.1217.0601NA.C0050"/>
    <n v="30"/>
    <s v="MOBILE"/>
    <n v="19.95"/>
    <s v="Completato"/>
    <s v="Completato"/>
    <x v="10"/>
    <x v="3"/>
    <x v="23"/>
    <x v="3"/>
    <x v="1"/>
    <n v="0"/>
  </r>
  <r>
    <s v="FRANCESCA MILANO"/>
    <s v="MLNFNC77P66E038V"/>
    <x v="1"/>
    <n v="24370723"/>
    <s v="OR-0030605692"/>
    <s v="NR.1217.0601NA.C0090"/>
    <n v="30"/>
    <s v="MOBILE"/>
    <n v="19.95"/>
    <s v="Completato"/>
    <s v="Completato"/>
    <x v="6"/>
    <x v="3"/>
    <x v="38"/>
    <x v="0"/>
    <x v="1"/>
    <n v="0"/>
  </r>
  <r>
    <s v="STEFANO PENNETTA"/>
    <s v="PNNSFN65B05L064K"/>
    <x v="1"/>
    <n v="24374563"/>
    <s v="OR-0030620022"/>
    <s v="NR.1217.0601NA.C0243"/>
    <n v="30"/>
    <s v="MOBILE"/>
    <n v="19.95"/>
    <s v="Completato"/>
    <s v="Completato"/>
    <x v="10"/>
    <x v="3"/>
    <x v="26"/>
    <x v="2"/>
    <x v="1"/>
    <n v="0"/>
  </r>
  <r>
    <s v="FRANCESCO BALZANO"/>
    <s v="BLZFNC87H26Z112W"/>
    <x v="1"/>
    <n v="24375144"/>
    <s v="OR-0030622794"/>
    <s v="NR.1217.0601NA.C0248"/>
    <n v="30"/>
    <s v="MOBILE"/>
    <n v="19.95"/>
    <s v="Completato"/>
    <s v="Completato"/>
    <x v="1"/>
    <x v="3"/>
    <x v="22"/>
    <x v="0"/>
    <x v="1"/>
    <n v="0"/>
  </r>
  <r>
    <s v="GIOVANNA TATONE"/>
    <s v="TTNGNN83C41A662T"/>
    <x v="1"/>
    <n v="24375407"/>
    <s v="OR-0030623342"/>
    <s v="NR.1217.0601NA.C0003"/>
    <n v="20"/>
    <s v="FISSO E MOBILE"/>
    <n v="33.9"/>
    <s v="Inviato"/>
    <s v="Attesa provisioning"/>
    <x v="1"/>
    <x v="4"/>
    <x v="1"/>
    <x v="0"/>
    <x v="1"/>
    <n v="20"/>
  </r>
  <r>
    <s v="DONATO D'AMBROSIO"/>
    <s v="DMBDNT00L07I330Y"/>
    <x v="1"/>
    <n v="24362768"/>
    <s v="OR-0030571386"/>
    <s v="NR.1217.0601NA.C0004"/>
    <n v="20"/>
    <s v="MOBILE"/>
    <n v="8.9499999999999993"/>
    <s v="Completato"/>
    <s v="Completato"/>
    <x v="11"/>
    <x v="4"/>
    <x v="2"/>
    <x v="0"/>
    <x v="1"/>
    <n v="20"/>
  </r>
  <r>
    <s v="FRANCESCO MASSARO"/>
    <s v="MSSFNC80M16A048W"/>
    <x v="1"/>
    <n v="24384367"/>
    <s v="OR-0030659976"/>
    <s v="NR.1217.0601NA.C0004"/>
    <n v="40"/>
    <s v="FISSO E MOBILE"/>
    <n v="43.85"/>
    <s v="Inviato"/>
    <s v="Attesa provisioning"/>
    <x v="3"/>
    <x v="4"/>
    <x v="2"/>
    <x v="0"/>
    <x v="1"/>
    <n v="20"/>
  </r>
  <r>
    <s v="FRANCESCO MASSARO"/>
    <s v="MSSFNC80M16A048W"/>
    <x v="1"/>
    <n v="24384367"/>
    <s v="OR-0030659976"/>
    <s v="NR.1217.0601NA.C0004"/>
    <n v="40"/>
    <s v="FISSO E MOBILE"/>
    <n v="43.85"/>
    <s v="Inviato"/>
    <s v="Attesa provisioning"/>
    <x v="3"/>
    <x v="4"/>
    <x v="2"/>
    <x v="0"/>
    <x v="1"/>
    <n v="20"/>
  </r>
  <r>
    <s v="VITO LASSANDRO"/>
    <s v="LSSVTI87L09A048W"/>
    <x v="1"/>
    <n v="24367643"/>
    <s v="OR-0030591664"/>
    <s v="NR.1217.0601NA.C0012"/>
    <n v="20"/>
    <s v="MOBILE"/>
    <n v="8.9499999999999993"/>
    <s v="Completato"/>
    <s v="Completato"/>
    <x v="9"/>
    <x v="4"/>
    <x v="0"/>
    <x v="0"/>
    <x v="1"/>
    <n v="20"/>
  </r>
  <r>
    <s v="DOMENICA GUARINI"/>
    <s v="GRNDNC59E43A048N"/>
    <x v="1"/>
    <n v="24376915"/>
    <s v="OR-0030629979"/>
    <s v="NR.1217.0601NA.C0012"/>
    <n v="20"/>
    <s v="MOBILE"/>
    <n v="9.9499999999999993"/>
    <s v="Completato"/>
    <s v="Completato"/>
    <x v="2"/>
    <x v="4"/>
    <x v="0"/>
    <x v="0"/>
    <x v="1"/>
    <n v="20"/>
  </r>
  <r>
    <s v="MICHELE RICCIARDI"/>
    <s v="RCCMHL59E14E946K"/>
    <x v="1"/>
    <n v="24372278"/>
    <s v="OR-0030610673"/>
    <s v="NR.1217.0601NA.C0159"/>
    <n v="20"/>
    <s v="FISSO E MOBILE"/>
    <n v="33.9"/>
    <s v="Inviato"/>
    <s v="In Lavorazione"/>
    <x v="6"/>
    <x v="4"/>
    <x v="5"/>
    <x v="0"/>
    <x v="1"/>
    <n v="20"/>
  </r>
  <r>
    <s v="SANDRO TEDONE"/>
    <s v="TDNSDR79H21C514T"/>
    <x v="1"/>
    <n v="21858538"/>
    <s v="OR-0030666630"/>
    <s v="NR.1217.0601NA.C0159"/>
    <n v="20"/>
    <s v="MOBILE"/>
    <n v="9.9499999999999993"/>
    <s v="Completato"/>
    <s v="Completato"/>
    <x v="3"/>
    <x v="4"/>
    <x v="5"/>
    <x v="0"/>
    <x v="1"/>
    <n v="20"/>
  </r>
  <r>
    <s v="DONATELLA DELL'ANNA"/>
    <s v="DLLDTL93C64E506W"/>
    <x v="1"/>
    <n v="24390378"/>
    <s v="OR-0030679070"/>
    <s v="NR.1217.0601NA.C0178"/>
    <n v="20"/>
    <s v="FISSO E MOBILE"/>
    <n v="33.9"/>
    <s v="Inviato"/>
    <s v="Attesa provisioning"/>
    <x v="7"/>
    <x v="4"/>
    <x v="6"/>
    <x v="2"/>
    <x v="1"/>
    <n v="20"/>
  </r>
  <r>
    <s v="CATERINA MIRI"/>
    <s v="MRICRN73L67C978R"/>
    <x v="1"/>
    <n v="24393343"/>
    <s v="OR-0030687594"/>
    <s v="NR.1217.0601NA.C0178"/>
    <n v="20"/>
    <s v="FISSO E MOBILE"/>
    <n v="33.9"/>
    <s v="Inviato"/>
    <s v="Attesa provisioning"/>
    <x v="4"/>
    <x v="4"/>
    <x v="6"/>
    <x v="2"/>
    <x v="1"/>
    <n v="20"/>
  </r>
  <r>
    <s v="DONATO TOZZA"/>
    <s v="TZZDNT47D27E483S"/>
    <x v="1"/>
    <n v="24369469"/>
    <s v="OR-0030596986"/>
    <s v="NR.1217.0601NA.C0218"/>
    <n v="20"/>
    <s v="MOBILE"/>
    <n v="8.9499999999999993"/>
    <s v="Completato"/>
    <s v="Completato"/>
    <x v="9"/>
    <x v="4"/>
    <x v="39"/>
    <x v="0"/>
    <x v="1"/>
    <n v="20"/>
  </r>
  <r>
    <s v="COSIMO LIMA"/>
    <s v="LMICSM71P02B619V"/>
    <x v="1"/>
    <n v="24364230"/>
    <s v="OR-0030578388"/>
    <s v="NR.1217.0601NA.C0232"/>
    <n v="20"/>
    <s v="MOBILE"/>
    <n v="8.9499999999999993"/>
    <s v="Completato"/>
    <s v="Completato"/>
    <x v="5"/>
    <x v="4"/>
    <x v="21"/>
    <x v="0"/>
    <x v="1"/>
    <n v="20"/>
  </r>
  <r>
    <s v="ADDOLORATA MASSAFRA"/>
    <s v="MSSDLR52L51E986O"/>
    <x v="1"/>
    <n v="24372589"/>
    <s v="OR-0030613989"/>
    <s v="NR.1217.0601NA.C0041"/>
    <n v="20"/>
    <s v="MOBILE"/>
    <n v="9.9499999999999993"/>
    <s v="Completato"/>
    <s v="Completato"/>
    <x v="10"/>
    <x v="4"/>
    <x v="40"/>
    <x v="0"/>
    <x v="1"/>
    <n v="20"/>
  </r>
  <r>
    <s v="MICHELE ANNESE"/>
    <s v="NNSMHL67T07C514H"/>
    <x v="1"/>
    <n v="24383309"/>
    <s v="OR-0030654051"/>
    <s v="NR.1217.0601NA.C0259"/>
    <n v="20"/>
    <s v="FISSO E MOBILE"/>
    <n v="35.9"/>
    <s v="Inviato"/>
    <s v="In Lavorazione"/>
    <x v="0"/>
    <x v="4"/>
    <x v="15"/>
    <x v="3"/>
    <x v="1"/>
    <n v="20"/>
  </r>
  <r>
    <s v="VITO LEPORE"/>
    <s v="LPRVTI55R15A662G"/>
    <x v="1"/>
    <n v="24362649"/>
    <s v="OR-0030570935"/>
    <s v="NR.1217.0601NA.C0012"/>
    <n v="20"/>
    <s v="MOBILE"/>
    <n v="8.9499999999999993"/>
    <s v="Completato"/>
    <s v="Completato"/>
    <x v="11"/>
    <x v="4"/>
    <x v="0"/>
    <x v="0"/>
    <x v="1"/>
    <n v="20"/>
  </r>
  <r>
    <s v="ANGELA CURALLI"/>
    <s v="CRLNGL85P64A662D"/>
    <x v="1"/>
    <n v="24377744"/>
    <s v="OR-0030634457"/>
    <s v="NR.1217.0601NA.C0012"/>
    <n v="20"/>
    <s v="MOBILE"/>
    <n v="9.9499999999999993"/>
    <s v="Completato"/>
    <s v="Completato"/>
    <x v="2"/>
    <x v="4"/>
    <x v="0"/>
    <x v="0"/>
    <x v="1"/>
    <n v="20"/>
  </r>
  <r>
    <s v="CAMILLA BELLOMO"/>
    <s v="BLLCLL75M57A048O"/>
    <x v="1"/>
    <n v="24374440"/>
    <s v="OR-0030619534"/>
    <s v="NR.1217.0601NA.C0019"/>
    <n v="20"/>
    <s v="FISSO E MOBILE"/>
    <n v="35.9"/>
    <s v="Inviato"/>
    <s v="Attesa provisioning"/>
    <x v="10"/>
    <x v="4"/>
    <x v="35"/>
    <x v="0"/>
    <x v="1"/>
    <n v="20"/>
  </r>
  <r>
    <s v="FEDERICA CONIGLIO"/>
    <s v="CNGFRC98H42A662Z"/>
    <x v="1"/>
    <n v="24379477"/>
    <s v="OR-0030639003"/>
    <s v="NR.1217.0601NA.C0059"/>
    <n v="20"/>
    <s v="FISSO E MOBILE"/>
    <n v="33.9"/>
    <s v="Inviato"/>
    <s v="Attesa provisioning"/>
    <x v="2"/>
    <x v="4"/>
    <x v="10"/>
    <x v="0"/>
    <x v="1"/>
    <n v="20"/>
  </r>
  <r>
    <s v="PIETRO ANTONIO CHIMIENTI"/>
    <s v="CHMPRN66D11E882B"/>
    <x v="1"/>
    <n v="24391682"/>
    <s v="OR-0030683555"/>
    <s v="NR.1217.0601NA.C0052"/>
    <n v="20"/>
    <s v="MOBILE"/>
    <n v="9.9499999999999993"/>
    <s v="Inviato"/>
    <s v="MNP-IN in Corso"/>
    <x v="4"/>
    <x v="4"/>
    <x v="41"/>
    <x v="2"/>
    <x v="1"/>
    <n v="20"/>
  </r>
  <r>
    <s v="MICHELA POLICASTRO"/>
    <s v="PLCMHL90T55H501C"/>
    <x v="1"/>
    <n v="24393876"/>
    <s v="OR-0030690082"/>
    <s v="NR.1217.0601NA.C0142"/>
    <n v="20"/>
    <s v="FISSO E MOBILE"/>
    <n v="33.9"/>
    <s v="Inviato"/>
    <s v="Attesa provisioning"/>
    <x v="8"/>
    <x v="4"/>
    <x v="11"/>
    <x v="0"/>
    <x v="1"/>
    <n v="20"/>
  </r>
  <r>
    <s v="VITO MODESTO COPPOLA"/>
    <s v="CPPVMD87R09A509Y"/>
    <x v="1"/>
    <n v="24395445"/>
    <s v="OR-0030694010"/>
    <s v="NR.1217.0601NA.C0097"/>
    <n v="20"/>
    <s v="MOBILE"/>
    <n v="9.9499999999999993"/>
    <s v="Completato"/>
    <s v="Completato"/>
    <x v="8"/>
    <x v="4"/>
    <x v="36"/>
    <x v="0"/>
    <x v="1"/>
    <n v="20"/>
  </r>
  <r>
    <s v="MARIA ROSARIA ALEMANNO"/>
    <s v="LMNMRS63R48C978Q"/>
    <x v="1"/>
    <n v="24369294"/>
    <s v="OR-0030596655"/>
    <s v="NR.1217.0601NA.C0150"/>
    <n v="20"/>
    <s v="MOBILE"/>
    <n v="8.9499999999999993"/>
    <s v="Completato"/>
    <s v="Completato"/>
    <x v="9"/>
    <x v="4"/>
    <x v="12"/>
    <x v="2"/>
    <x v="1"/>
    <n v="20"/>
  </r>
  <r>
    <s v="MARCELLO GIUSEPPE MARCUCCI"/>
    <s v="MRCMCL59A27C978D"/>
    <x v="1"/>
    <n v="24390017"/>
    <s v="OR-0030678264"/>
    <s v="NR.1217.0601NA.C0150"/>
    <n v="20"/>
    <s v="MOBILE"/>
    <n v="9.9499999999999993"/>
    <s v="Inviato"/>
    <s v="MNP-IN in Corso"/>
    <x v="7"/>
    <x v="4"/>
    <x v="12"/>
    <x v="2"/>
    <x v="1"/>
    <n v="20"/>
  </r>
  <r>
    <s v="DONATO IODICE"/>
    <s v="DCIDNT65A15A669R"/>
    <x v="1"/>
    <n v="24360278"/>
    <s v="OR-0030564885"/>
    <s v="NR.1217.0601NA.C0159"/>
    <n v="20"/>
    <s v="MOBILE"/>
    <n v="8.9499999999999993"/>
    <s v="Completato"/>
    <s v="Completato"/>
    <x v="11"/>
    <x v="4"/>
    <x v="5"/>
    <x v="0"/>
    <x v="1"/>
    <n v="20"/>
  </r>
  <r>
    <s v="MONICA CESIRA FLORIO"/>
    <s v="FLRMCC79A41A801X"/>
    <x v="1"/>
    <n v="24395367"/>
    <s v="OR-0030693739"/>
    <s v="NR.1217.0601NA.C0166"/>
    <n v="40"/>
    <s v="MOBILE"/>
    <n v="19.899999999999999"/>
    <s v="Completato"/>
    <s v="Completato"/>
    <x v="8"/>
    <x v="4"/>
    <x v="42"/>
    <x v="0"/>
    <x v="1"/>
    <n v="20"/>
  </r>
  <r>
    <s v="MONICA CESIRA FLORIO"/>
    <s v="FLRMCC79A41A801X"/>
    <x v="1"/>
    <n v="24395367"/>
    <s v="OR-0030693739"/>
    <s v="NR.1217.0601NA.C0166"/>
    <n v="40"/>
    <s v="MOBILE"/>
    <n v="19.899999999999999"/>
    <s v="Completato"/>
    <s v="Completato"/>
    <x v="8"/>
    <x v="4"/>
    <x v="42"/>
    <x v="0"/>
    <x v="1"/>
    <n v="20"/>
  </r>
  <r>
    <s v="ENZO RATTA"/>
    <s v="RTTNZE77M10C978S"/>
    <x v="1"/>
    <n v="24387247"/>
    <s v="OR-0030667735"/>
    <s v="NR.1217.0601NA.C0178"/>
    <n v="20"/>
    <s v="MOBILE"/>
    <n v="9.9499999999999993"/>
    <s v="Inviato"/>
    <s v="MNP-IN in Corso"/>
    <x v="3"/>
    <x v="4"/>
    <x v="6"/>
    <x v="2"/>
    <x v="1"/>
    <n v="20"/>
  </r>
  <r>
    <s v="LETIZIA DORA PAOLA PACE"/>
    <s v="PCALZD52M54H501G"/>
    <x v="1"/>
    <n v="24372679"/>
    <s v="OR-0030614252"/>
    <s v="NR.1217.0601NA.C0216"/>
    <n v="20"/>
    <s v="MOBILE"/>
    <n v="9.9499999999999993"/>
    <s v="Completato"/>
    <s v="Completato"/>
    <x v="10"/>
    <x v="4"/>
    <x v="43"/>
    <x v="0"/>
    <x v="1"/>
    <n v="20"/>
  </r>
  <r>
    <s v="SHAPON SARKER"/>
    <s v="SRKSPN95P21Z249V"/>
    <x v="1"/>
    <n v="24372075"/>
    <s v="OR-0030609978"/>
    <s v="NR.1217.0601NA.C0231"/>
    <n v="20"/>
    <s v="MOBILE"/>
    <n v="9.9499999999999993"/>
    <s v="Completato"/>
    <s v="Completato"/>
    <x v="6"/>
    <x v="4"/>
    <x v="44"/>
    <x v="0"/>
    <x v="1"/>
    <n v="20"/>
  </r>
  <r>
    <s v="NICOLETTA DACHILLE"/>
    <s v="DCHNLT82S45E223A"/>
    <x v="1"/>
    <n v="24369902"/>
    <s v="OR-0030600934"/>
    <s v="NR.1217.0601NA.C0233"/>
    <n v="20"/>
    <s v="MOBILE"/>
    <n v="9.9499999999999993"/>
    <s v="Completato"/>
    <s v="Completato"/>
    <x v="6"/>
    <x v="4"/>
    <x v="45"/>
    <x v="0"/>
    <x v="1"/>
    <n v="20"/>
  </r>
  <r>
    <s v="SAVERIO POLI"/>
    <s v="PLOSVR75L25C975Y"/>
    <x v="1"/>
    <n v="24393508"/>
    <s v="OR-0030687945"/>
    <s v="NR.1217.0601NA.C0128"/>
    <n v="40"/>
    <s v="MOBILE"/>
    <n v="19.899999999999999"/>
    <s v="Completato"/>
    <s v="Completato"/>
    <x v="4"/>
    <x v="4"/>
    <x v="31"/>
    <x v="0"/>
    <x v="1"/>
    <n v="20"/>
  </r>
  <r>
    <s v="SAVERIO POLI"/>
    <s v="PLOSVR75L25C975Y"/>
    <x v="1"/>
    <n v="24393508"/>
    <s v="OR-0030687945"/>
    <s v="NR.1217.0601NA.C0128"/>
    <n v="40"/>
    <s v="MOBILE"/>
    <n v="19.899999999999999"/>
    <s v="Completato"/>
    <s v="Completato"/>
    <x v="4"/>
    <x v="4"/>
    <x v="31"/>
    <x v="0"/>
    <x v="1"/>
    <n v="20"/>
  </r>
  <r>
    <s v="RAFFAELE PISTILLI"/>
    <s v="PSTRFL81A24A048C"/>
    <x v="1"/>
    <n v="24394357"/>
    <s v="OR-0030691226"/>
    <s v="NR.1217.0601NA.C0250"/>
    <n v="20"/>
    <s v="MOBILE"/>
    <n v="9.9499999999999993"/>
    <s v="Inviato"/>
    <s v="MNP-IN in Corso"/>
    <x v="8"/>
    <x v="4"/>
    <x v="20"/>
    <x v="0"/>
    <x v="1"/>
    <n v="20"/>
  </r>
  <r>
    <s v="CARLO ACHILLEA"/>
    <s v="CHLCRL81C02G786J"/>
    <x v="1"/>
    <n v="24363952"/>
    <s v="OR-0030577657"/>
    <s v="NR.1217.0601NA.C0251"/>
    <n v="20"/>
    <s v="FISSO E MOBILE"/>
    <n v="32.9"/>
    <s v="Inviato"/>
    <s v="Attesa provisioning"/>
    <x v="5"/>
    <x v="4"/>
    <x v="14"/>
    <x v="0"/>
    <x v="1"/>
    <n v="20"/>
  </r>
  <r>
    <s v="MARIA LUIGIA D'ARCANGELO"/>
    <s v="DRCMLG85E45H096D"/>
    <x v="1"/>
    <n v="24362276"/>
    <s v="OR-0030570247"/>
    <s v="NR.1217.0601NA.C0041"/>
    <n v="20"/>
    <s v="MOBILE"/>
    <n v="8.9499999999999993"/>
    <s v="Completato"/>
    <s v="Completato"/>
    <x v="11"/>
    <x v="4"/>
    <x v="40"/>
    <x v="0"/>
    <x v="1"/>
    <n v="20"/>
  </r>
  <r>
    <s v="PAOLO MICIA"/>
    <s v="MCIPLA81H17D862Q"/>
    <x v="1"/>
    <n v="24391779"/>
    <s v="OR-0030683616"/>
    <s v="NR.1217.0601NA.C0049"/>
    <n v="20"/>
    <s v="FISSO E MOBILE"/>
    <n v="35.9"/>
    <s v="Inviato"/>
    <s v="In Lavorazione"/>
    <x v="4"/>
    <x v="4"/>
    <x v="46"/>
    <x v="2"/>
    <x v="1"/>
    <n v="20"/>
  </r>
  <r>
    <s v="ANTONIO GRILLO"/>
    <s v="GRLNTN84M14B619J"/>
    <x v="1"/>
    <n v="24372827"/>
    <s v="OR-0030614710"/>
    <s v="NR.1217.0601NA.C0259"/>
    <n v="20"/>
    <s v="FISSO E MOBILE"/>
    <n v="35.9"/>
    <s v="Inviato"/>
    <s v="Attesa provisioning"/>
    <x v="10"/>
    <x v="4"/>
    <x v="15"/>
    <x v="3"/>
    <x v="1"/>
    <n v="20"/>
  </r>
  <r>
    <s v="FRANCESCA DISTEFANO"/>
    <s v="DSTFNC72R71C514V"/>
    <x v="1"/>
    <n v="24374624"/>
    <s v="OR-0030620527"/>
    <s v="NR.1217.0601NA.C0259"/>
    <n v="20"/>
    <s v="FISSO E MOBILE"/>
    <n v="33.9"/>
    <s v="Inviato"/>
    <s v="Attesa provisioning"/>
    <x v="10"/>
    <x v="4"/>
    <x v="15"/>
    <x v="3"/>
    <x v="1"/>
    <n v="20"/>
  </r>
  <r>
    <s v="PAMELA VITULLO"/>
    <s v="VTLPML71C44C514I"/>
    <x v="1"/>
    <n v="24387286"/>
    <s v="OR-0030667633"/>
    <s v="NR.1217.0601NA.C0259"/>
    <n v="40"/>
    <s v="FISSO E MOBILE"/>
    <n v="45.85"/>
    <s v="In attesa di approvazione"/>
    <s v="Parcheggiato"/>
    <x v="3"/>
    <x v="4"/>
    <x v="15"/>
    <x v="3"/>
    <x v="1"/>
    <n v="20"/>
  </r>
  <r>
    <s v="PAMELA VITULLO"/>
    <s v="VTLPML71C44C514I"/>
    <x v="1"/>
    <n v="24387286"/>
    <s v="OR-0030667633"/>
    <s v="NR.1217.0601NA.C0259"/>
    <n v="40"/>
    <s v="FISSO E MOBILE"/>
    <n v="45.85"/>
    <s v="In attesa di approvazione"/>
    <s v="Parcheggiato"/>
    <x v="3"/>
    <x v="4"/>
    <x v="15"/>
    <x v="3"/>
    <x v="1"/>
    <n v="20"/>
  </r>
  <r>
    <s v="FRANCESCO LOVERRE"/>
    <s v="LVRFNC87P16E038C"/>
    <x v="1"/>
    <n v="24394160"/>
    <s v="OR-0030690656"/>
    <s v="NR.1217.0601NA.C0001"/>
    <n v="20"/>
    <s v="MOBILE"/>
    <n v="9.9499999999999993"/>
    <s v="Inviato"/>
    <s v="MNP-IN in Corso"/>
    <x v="8"/>
    <x v="4"/>
    <x v="47"/>
    <x v="0"/>
    <x v="1"/>
    <n v="20"/>
  </r>
  <r>
    <s v="VINCENZA CANTANNA"/>
    <s v="CNTVCN63E46C741K"/>
    <x v="1"/>
    <n v="24363128"/>
    <s v="OR-0030575865"/>
    <s v="NR.1217.0601NA.C0003"/>
    <n v="20"/>
    <s v="FISSO E MOBILE"/>
    <n v="32.9"/>
    <s v="Inviato"/>
    <s v="Attesa provisioning"/>
    <x v="5"/>
    <x v="4"/>
    <x v="1"/>
    <x v="0"/>
    <x v="1"/>
    <n v="20"/>
  </r>
  <r>
    <s v="TOMMASO ALTAMURA"/>
    <s v="LTMTMS78B16L109N"/>
    <x v="1"/>
    <n v="24362685"/>
    <s v="OR-0030571096"/>
    <s v="NR.1217.0601NA.C0020"/>
    <n v="20"/>
    <s v="MOBILE"/>
    <n v="8.9499999999999993"/>
    <s v="Completato"/>
    <s v="Completato"/>
    <x v="11"/>
    <x v="4"/>
    <x v="48"/>
    <x v="0"/>
    <x v="1"/>
    <n v="20"/>
  </r>
  <r>
    <s v="SABATINA MUCCILLI"/>
    <s v="MCCSTN49P54F220O"/>
    <x v="1"/>
    <n v="24383523"/>
    <s v="OR-0030654535"/>
    <s v="NR.1217.0601NA.C0022"/>
    <n v="20"/>
    <s v="FISSO E MOBILE"/>
    <n v="33.9"/>
    <s v="Inviato"/>
    <s v="Attesa provisioning"/>
    <x v="0"/>
    <x v="4"/>
    <x v="16"/>
    <x v="0"/>
    <x v="1"/>
    <n v="20"/>
  </r>
  <r>
    <s v="FRANCESCO PAOLO LATRONICO"/>
    <s v="LTRFNC69C05I610V"/>
    <x v="1"/>
    <n v="24395534"/>
    <s v="OR-0030694206"/>
    <s v="NR.1217.0601NA.C0059"/>
    <n v="20"/>
    <s v="MOBILE"/>
    <n v="9.9499999999999993"/>
    <s v="Inviato"/>
    <s v="Rifiutato MNP-IN"/>
    <x v="8"/>
    <x v="4"/>
    <x v="10"/>
    <x v="0"/>
    <x v="1"/>
    <n v="20"/>
  </r>
  <r>
    <s v="MARIA GIOVANNA STELLACCI"/>
    <s v="STLMGV63A56A669I"/>
    <x v="1"/>
    <n v="24372293"/>
    <s v="OR-0030610759"/>
    <s v="NR.1217.0601NA.C0159"/>
    <n v="20"/>
    <s v="MOBILE"/>
    <n v="9.9499999999999993"/>
    <s v="Completato"/>
    <s v="Completato"/>
    <x v="6"/>
    <x v="4"/>
    <x v="5"/>
    <x v="0"/>
    <x v="1"/>
    <n v="20"/>
  </r>
  <r>
    <s v="ANTONIO PAMPO"/>
    <s v="PMPNTN90D20D862S"/>
    <x v="1"/>
    <n v="24374252"/>
    <s v="OR-0030619119"/>
    <s v="NR.1217.0601NA.C0178"/>
    <n v="20"/>
    <s v="MOBILE"/>
    <n v="9.9499999999999993"/>
    <s v="Completato"/>
    <s v="Completato"/>
    <x v="10"/>
    <x v="4"/>
    <x v="6"/>
    <x v="2"/>
    <x v="1"/>
    <n v="20"/>
  </r>
  <r>
    <s v="NICOLA DI LASCIO"/>
    <s v="DLSNCL77R31E919L"/>
    <x v="1"/>
    <n v="24370133"/>
    <s v="OR-0030602817"/>
    <s v="NR.1217.0601NA.C0218"/>
    <n v="20"/>
    <s v="MOBILE"/>
    <n v="9.9499999999999993"/>
    <s v="Completato"/>
    <s v="Completato"/>
    <x v="6"/>
    <x v="4"/>
    <x v="39"/>
    <x v="0"/>
    <x v="1"/>
    <n v="20"/>
  </r>
  <r>
    <s v="GIORGIO PICCA"/>
    <s v="PCCGRG86D16A662A"/>
    <x v="1"/>
    <n v="24370250"/>
    <s v="OR-0030603657"/>
    <s v="NR.1217.0601NA.C0221"/>
    <n v="20"/>
    <s v="MOBILE"/>
    <n v="9.9499999999999993"/>
    <s v="Completato"/>
    <s v="Completato"/>
    <x v="6"/>
    <x v="4"/>
    <x v="8"/>
    <x v="0"/>
    <x v="1"/>
    <n v="20"/>
  </r>
  <r>
    <s v="FRANCA BRESCIA"/>
    <s v="BRSFNC69A49Z133L"/>
    <x v="1"/>
    <n v="24377189"/>
    <s v="OR-0030631655"/>
    <s v="NR.1217.0601NA.C0221"/>
    <n v="20"/>
    <s v="MOBILE"/>
    <n v="9.9499999999999993"/>
    <s v="Completato"/>
    <s v="Completato"/>
    <x v="2"/>
    <x v="4"/>
    <x v="8"/>
    <x v="0"/>
    <x v="1"/>
    <n v="20"/>
  </r>
  <r>
    <s v="FRANCESCO MICUCCI"/>
    <s v="MCCFNC81P28F280L"/>
    <x v="1"/>
    <n v="24384545"/>
    <s v="OR-0030660920"/>
    <s v="NR.1217.0601NA.C0128"/>
    <n v="20"/>
    <s v="MOBILE"/>
    <n v="9.9499999999999993"/>
    <s v="Completato"/>
    <s v="Completato"/>
    <x v="3"/>
    <x v="4"/>
    <x v="31"/>
    <x v="0"/>
    <x v="1"/>
    <n v="20"/>
  </r>
  <r>
    <s v="NUNZIA TRENTADUE"/>
    <s v="TRNNNZ05E63C134V"/>
    <x v="1"/>
    <n v="24372422"/>
    <s v="OR-0030613567"/>
    <s v="NR.1217.0601NA.C0245"/>
    <n v="20"/>
    <s v="MOBILE"/>
    <n v="9.9499999999999993"/>
    <s v="Completato"/>
    <s v="Completato"/>
    <x v="10"/>
    <x v="4"/>
    <x v="49"/>
    <x v="0"/>
    <x v="1"/>
    <n v="20"/>
  </r>
  <r>
    <s v="FRANCA MODARELLI"/>
    <s v="MDRFNC64D58C888Y"/>
    <x v="1"/>
    <n v="24367211"/>
    <s v="OR-0030588107"/>
    <s v="NR.1217.0601NA.C0250"/>
    <n v="20"/>
    <s v="MOBILE"/>
    <n v="8.9499999999999993"/>
    <s v="Completato"/>
    <s v="Completato"/>
    <x v="9"/>
    <x v="4"/>
    <x v="20"/>
    <x v="0"/>
    <x v="1"/>
    <n v="20"/>
  </r>
  <r>
    <s v="CATERINA SCHITTULLI"/>
    <s v="SCHCRN60L62G131P"/>
    <x v="1"/>
    <n v="24390969"/>
    <s v="OR-0030681663"/>
    <s v="NR.1217.0601NA.C0259"/>
    <n v="20"/>
    <s v="FISSO E MOBILE"/>
    <n v="33.9"/>
    <s v="Inviato"/>
    <s v="In Lavorazione"/>
    <x v="4"/>
    <x v="4"/>
    <x v="15"/>
    <x v="3"/>
    <x v="1"/>
    <n v="20"/>
  </r>
  <r>
    <s v="KATIA MURANO"/>
    <s v="MRNKTA03D46B619R"/>
    <x v="1"/>
    <n v="24390405"/>
    <s v="OR-0030679045"/>
    <s v="NR.1217.0601NA.C0264"/>
    <n v="20"/>
    <s v="FISSO E MOBILE"/>
    <n v="35.9"/>
    <s v="Inviato"/>
    <s v="In Lavorazione"/>
    <x v="7"/>
    <x v="4"/>
    <x v="50"/>
    <x v="0"/>
    <x v="1"/>
    <n v="20"/>
  </r>
  <r>
    <s v="LUCA MUSCOGIURI"/>
    <s v="MSCLCU01M05G187L"/>
    <x v="1"/>
    <n v="24361841"/>
    <s v="OR-0030569249"/>
    <s v="NR.1217.0601NA.C0003"/>
    <n v="20"/>
    <s v="FISSO E MOBILE"/>
    <n v="32.9"/>
    <s v="Completato"/>
    <s v="Completato"/>
    <x v="11"/>
    <x v="4"/>
    <x v="1"/>
    <x v="0"/>
    <x v="1"/>
    <n v="20"/>
  </r>
  <r>
    <s v="VINCENZO GERRI"/>
    <s v="GRRVCN81A05A048H"/>
    <x v="1"/>
    <n v="24375276"/>
    <s v="OR-0030623059"/>
    <s v="NR.1217.0601NA.C0012"/>
    <n v="20"/>
    <s v="FISSO E MOBILE"/>
    <n v="33.9"/>
    <s v="Completato"/>
    <s v="Completato"/>
    <x v="1"/>
    <x v="4"/>
    <x v="0"/>
    <x v="0"/>
    <x v="1"/>
    <n v="20"/>
  </r>
  <r>
    <s v="VITO LASSANDRO"/>
    <s v="LSSVTI87L09A048W"/>
    <x v="1"/>
    <n v="24367643"/>
    <s v="OR-0030654904"/>
    <s v="NR.1217.0601NA.C0012"/>
    <n v="20"/>
    <s v="MOBILE"/>
    <n v="9.9499999999999993"/>
    <s v="Completato"/>
    <s v="Completato"/>
    <x v="0"/>
    <x v="4"/>
    <x v="0"/>
    <x v="0"/>
    <x v="1"/>
    <n v="20"/>
  </r>
  <r>
    <s v="TOMMASO OROFINO"/>
    <s v="RFNTMS58C04B923Y"/>
    <x v="1"/>
    <n v="24366942"/>
    <s v="OR-0030586890"/>
    <s v="NR.1217.0601NA.C0019"/>
    <n v="20"/>
    <s v="FISSO E MOBILE"/>
    <n v="34.9"/>
    <s v="Inviato"/>
    <s v="Attesa provisioning"/>
    <x v="9"/>
    <x v="4"/>
    <x v="35"/>
    <x v="0"/>
    <x v="1"/>
    <n v="20"/>
  </r>
  <r>
    <s v="SALVATORE PETRUZZELLI"/>
    <s v="PTRSVT78L17L874O"/>
    <x v="1"/>
    <n v="20355601"/>
    <s v="OR-0030660510"/>
    <s v="NR.1217.0601NA.C0084"/>
    <n v="20"/>
    <s v="MOBILE"/>
    <n v="9.9499999999999993"/>
    <s v="Inviato"/>
    <s v="MNP-IN in Corso"/>
    <x v="3"/>
    <x v="4"/>
    <x v="51"/>
    <x v="0"/>
    <x v="1"/>
    <n v="20"/>
  </r>
  <r>
    <s v="MICHELE BARILE"/>
    <s v="BRLMHL73L19F817T"/>
    <x v="1"/>
    <n v="24395412"/>
    <s v="OR-0030693879"/>
    <s v="NR.1217.0601NA.C0097"/>
    <n v="20"/>
    <s v="MOBILE"/>
    <n v="9.9499999999999993"/>
    <s v="Inviato"/>
    <s v="MNP-IN in Corso"/>
    <x v="8"/>
    <x v="4"/>
    <x v="36"/>
    <x v="0"/>
    <x v="1"/>
    <n v="20"/>
  </r>
  <r>
    <s v="ALAGIE BAH"/>
    <s v="BHALGA91C05Z317U"/>
    <x v="1"/>
    <n v="24372207"/>
    <s v="OR-0030610458"/>
    <s v="NR.1217.0601NA.C0155"/>
    <n v="20"/>
    <s v="MOBILE"/>
    <n v="9.9499999999999993"/>
    <s v="Completato"/>
    <s v="Completato"/>
    <x v="6"/>
    <x v="4"/>
    <x v="37"/>
    <x v="3"/>
    <x v="1"/>
    <n v="20"/>
  </r>
  <r>
    <s v="RUGGIERO D'AMBROSIO"/>
    <s v="DMBRGR84M16C514U"/>
    <x v="1"/>
    <n v="24372313"/>
    <s v="OR-0030610859"/>
    <s v="NR.1217.0601NA.C0159"/>
    <n v="20"/>
    <s v="MOBILE"/>
    <n v="9.9499999999999993"/>
    <s v="Completato"/>
    <s v="Completato"/>
    <x v="6"/>
    <x v="4"/>
    <x v="5"/>
    <x v="0"/>
    <x v="1"/>
    <n v="20"/>
  </r>
  <r>
    <s v="FRANCESCO LATTANZIO"/>
    <s v="LTTFNC57B12B915W"/>
    <x v="1"/>
    <n v="24387307"/>
    <s v="OR-0030667859"/>
    <s v="NR.1217.0601NA.C0159"/>
    <n v="20"/>
    <s v="MOBILE"/>
    <n v="9.9499999999999993"/>
    <s v="Inviato"/>
    <s v="MNP-IN in Corso"/>
    <x v="3"/>
    <x v="4"/>
    <x v="5"/>
    <x v="0"/>
    <x v="1"/>
    <n v="20"/>
  </r>
  <r>
    <s v="ANNA FUSARO"/>
    <s v="FSRNNA53S67C978Q"/>
    <x v="1"/>
    <n v="24363504"/>
    <s v="OR-0030576790"/>
    <s v="NR.1217.0601NA.C0178"/>
    <n v="20"/>
    <s v="MOBILE"/>
    <n v="8.9499999999999993"/>
    <s v="Completato"/>
    <s v="Completato"/>
    <x v="5"/>
    <x v="4"/>
    <x v="6"/>
    <x v="2"/>
    <x v="1"/>
    <n v="20"/>
  </r>
  <r>
    <s v="ROBERTA PLADINI"/>
    <s v="PLDRRT80T46C978K"/>
    <x v="1"/>
    <n v="24387622"/>
    <s v="OR-0030671871"/>
    <s v="NR.1217.0601NA.C0178"/>
    <n v="20"/>
    <s v="MOBILE"/>
    <n v="9.9499999999999993"/>
    <s v="Inviato"/>
    <s v="MNP-IN in Corso"/>
    <x v="7"/>
    <x v="4"/>
    <x v="6"/>
    <x v="2"/>
    <x v="1"/>
    <n v="20"/>
  </r>
  <r>
    <s v="ANNA NICOLINA LENTINI"/>
    <s v="LNTNNC68S50G942N"/>
    <x v="1"/>
    <n v="24365974"/>
    <s v="OR-0030582398"/>
    <s v="NR.1217.0601NA.C0218"/>
    <n v="20"/>
    <s v="MOBILE"/>
    <n v="8.9499999999999993"/>
    <s v="Completato"/>
    <s v="Completato"/>
    <x v="5"/>
    <x v="4"/>
    <x v="39"/>
    <x v="0"/>
    <x v="1"/>
    <n v="20"/>
  </r>
  <r>
    <s v="COSIMA PASSIATORE"/>
    <s v="PSSCSM52L50F376O"/>
    <x v="1"/>
    <n v="24389677"/>
    <s v="OR-0030677322"/>
    <s v="NR.1217.0601NA.C0221"/>
    <n v="20"/>
    <s v="MOBILE"/>
    <n v="9.9499999999999993"/>
    <s v="Inviato"/>
    <s v="MNP-IN in Corso"/>
    <x v="7"/>
    <x v="4"/>
    <x v="8"/>
    <x v="0"/>
    <x v="1"/>
    <n v="20"/>
  </r>
  <r>
    <s v="LUIGI ANGIONE"/>
    <s v="NGNLGU80C03B619F"/>
    <x v="1"/>
    <n v="24363941"/>
    <s v="OR-0030577539"/>
    <s v="NR.1217.0601NA.C0232"/>
    <n v="20"/>
    <s v="FISSO E MOBILE"/>
    <n v="32.9"/>
    <s v="Inviato"/>
    <s v="Attesa provisioning"/>
    <x v="5"/>
    <x v="4"/>
    <x v="21"/>
    <x v="0"/>
    <x v="1"/>
    <n v="20"/>
  </r>
  <r>
    <s v="GRAZIA BOLOGNA"/>
    <s v="BLGGRZ63E48B619X"/>
    <x v="1"/>
    <n v="24369708"/>
    <s v="OR-0030597424"/>
    <s v="NR.1217.0601NA.C0232"/>
    <n v="20"/>
    <s v="MOBILE"/>
    <n v="8.9499999999999993"/>
    <s v="Completato"/>
    <s v="Completato"/>
    <x v="9"/>
    <x v="4"/>
    <x v="21"/>
    <x v="0"/>
    <x v="1"/>
    <n v="20"/>
  </r>
  <r>
    <s v="FRANCESCO GIANNONE"/>
    <s v="GNNFNC66M18B619Q"/>
    <x v="1"/>
    <n v="24384052"/>
    <s v="OR-0030658731"/>
    <s v="NR.1217.0601NA.C0232"/>
    <n v="40"/>
    <s v="FISSO E MOBILE"/>
    <n v="43.85"/>
    <s v="Inviato"/>
    <s v="Inviato in Fatturazione"/>
    <x v="3"/>
    <x v="4"/>
    <x v="21"/>
    <x v="0"/>
    <x v="1"/>
    <n v="20"/>
  </r>
  <r>
    <s v="FRANCESCO GIANNONE"/>
    <s v="GNNFNC66M18B619Q"/>
    <x v="1"/>
    <n v="24384052"/>
    <s v="OR-0030658731"/>
    <s v="NR.1217.0601NA.C0232"/>
    <n v="40"/>
    <s v="FISSO E MOBILE"/>
    <n v="43.85"/>
    <s v="Inviato"/>
    <s v="Inviato in Fatturazione"/>
    <x v="3"/>
    <x v="4"/>
    <x v="21"/>
    <x v="0"/>
    <x v="1"/>
    <n v="20"/>
  </r>
  <r>
    <s v="PIETRO BENEDETTO"/>
    <s v="BNDPTR73L26F923M"/>
    <x v="1"/>
    <n v="24380816"/>
    <s v="OR-0030648015"/>
    <s v="NR.1217.0601NA.C0128"/>
    <n v="80"/>
    <s v="MOBILE"/>
    <n v="39.799999999999997"/>
    <s v="Completato"/>
    <s v="Completato"/>
    <x v="0"/>
    <x v="4"/>
    <x v="31"/>
    <x v="0"/>
    <x v="1"/>
    <n v="20"/>
  </r>
  <r>
    <s v="PIETRO BENEDETTO"/>
    <s v="BNDPTR73L26F923M"/>
    <x v="1"/>
    <n v="24380816"/>
    <s v="OR-0030648015"/>
    <s v="NR.1217.0601NA.C0128"/>
    <n v="80"/>
    <s v="MOBILE"/>
    <n v="39.799999999999997"/>
    <s v="Completato"/>
    <s v="Completato"/>
    <x v="0"/>
    <x v="4"/>
    <x v="31"/>
    <x v="0"/>
    <x v="1"/>
    <n v="20"/>
  </r>
  <r>
    <s v="PIETRO BENEDETTO"/>
    <s v="BNDPTR73L26F923M"/>
    <x v="1"/>
    <n v="24380816"/>
    <s v="OR-0030648015"/>
    <s v="NR.1217.0601NA.C0128"/>
    <n v="80"/>
    <s v="MOBILE"/>
    <n v="39.799999999999997"/>
    <s v="Completato"/>
    <s v="Completato"/>
    <x v="0"/>
    <x v="4"/>
    <x v="31"/>
    <x v="0"/>
    <x v="1"/>
    <n v="20"/>
  </r>
  <r>
    <s v="PIETRO BENEDETTO"/>
    <s v="BNDPTR73L26F923M"/>
    <x v="1"/>
    <n v="24380816"/>
    <s v="OR-0030648015"/>
    <s v="NR.1217.0601NA.C0128"/>
    <n v="80"/>
    <s v="MOBILE"/>
    <n v="39.799999999999997"/>
    <s v="Completato"/>
    <s v="Completato"/>
    <x v="0"/>
    <x v="4"/>
    <x v="31"/>
    <x v="0"/>
    <x v="1"/>
    <n v="20"/>
  </r>
  <r>
    <s v="LEONARDO BIRARDI MAZZONE"/>
    <s v="BRRLRD54S14B923N"/>
    <x v="1"/>
    <n v="24377421"/>
    <s v="OR-0030632341"/>
    <s v="NR.1217.0601NA.C0250"/>
    <n v="20"/>
    <s v="FISSO E MOBILE"/>
    <n v="33.9"/>
    <s v="Inviato"/>
    <s v="Attesa provisioning"/>
    <x v="2"/>
    <x v="4"/>
    <x v="20"/>
    <x v="0"/>
    <x v="1"/>
    <n v="20"/>
  </r>
  <r>
    <s v="ALESSANDRO PULIERI"/>
    <s v="PLRLSN76M31E243S"/>
    <x v="1"/>
    <n v="24390332"/>
    <s v="OR-0030678948"/>
    <s v="NR.1217.0601NA.C0041"/>
    <n v="20"/>
    <s v="MOBILE"/>
    <n v="9.9499999999999993"/>
    <s v="Inviato"/>
    <s v="In attesa espletamento MNP"/>
    <x v="7"/>
    <x v="4"/>
    <x v="40"/>
    <x v="0"/>
    <x v="1"/>
    <n v="20"/>
  </r>
  <r>
    <s v="ROSARIO PIO COLANGIONE"/>
    <s v="CLNRRP87A13C514G"/>
    <x v="1"/>
    <n v="24390411"/>
    <s v="OR-0030679122"/>
    <s v="NR.1217.0601NA.C0259"/>
    <n v="20"/>
    <s v="FISSO E MOBILE"/>
    <n v="33.9"/>
    <s v="Inviato"/>
    <s v="In Lavorazione"/>
    <x v="7"/>
    <x v="4"/>
    <x v="15"/>
    <x v="3"/>
    <x v="1"/>
    <n v="20"/>
  </r>
  <r>
    <s v="CIRO GARGIULO"/>
    <s v="GRGCRI69R24F839A"/>
    <x v="1"/>
    <n v="24367751"/>
    <s v="OR-0030592119"/>
    <s v="NR.1217.0601NA.C0003"/>
    <n v="20"/>
    <s v="MOBILE"/>
    <n v="8.9499999999999993"/>
    <s v="Completato"/>
    <s v="Completato"/>
    <x v="9"/>
    <x v="4"/>
    <x v="1"/>
    <x v="0"/>
    <x v="1"/>
    <n v="20"/>
  </r>
  <r>
    <s v="DONATA ARRESTA"/>
    <s v="RRSDNT47A41A612R"/>
    <x v="1"/>
    <n v="24364249"/>
    <s v="OR-0030578329"/>
    <s v="NR.1217.0601NA.C0004"/>
    <n v="20"/>
    <s v="MOBILE"/>
    <n v="8.9499999999999993"/>
    <s v="Completato"/>
    <s v="Completato"/>
    <x v="5"/>
    <x v="4"/>
    <x v="2"/>
    <x v="0"/>
    <x v="1"/>
    <n v="20"/>
  </r>
  <r>
    <s v="STEFANO DIGIROLAMO"/>
    <s v="DGRSFN61R19I330A"/>
    <x v="1"/>
    <n v="24369682"/>
    <s v="OR-0030597353"/>
    <s v="NR.1217.0601NA.C0004"/>
    <n v="20"/>
    <s v="MOBILE"/>
    <n v="8.9499999999999993"/>
    <s v="Completato"/>
    <s v="Completato"/>
    <x v="9"/>
    <x v="4"/>
    <x v="2"/>
    <x v="0"/>
    <x v="1"/>
    <n v="20"/>
  </r>
  <r>
    <s v="GIUSEPPINA BITETTI"/>
    <s v="BTTGPP79A52I330J"/>
    <x v="1"/>
    <n v="24381219"/>
    <s v="OR-0030648966"/>
    <s v="NR.1217.0601NA.C0004"/>
    <n v="20"/>
    <s v="MOBILE"/>
    <n v="9.9499999999999993"/>
    <s v="Completato"/>
    <s v="Completato"/>
    <x v="0"/>
    <x v="4"/>
    <x v="2"/>
    <x v="0"/>
    <x v="1"/>
    <n v="20"/>
  </r>
  <r>
    <s v="VINCENZO GERRI"/>
    <s v="GRRVCN81A05A048H"/>
    <x v="1"/>
    <n v="24375216"/>
    <s v="OR-0030622963"/>
    <s v="NR.1217.0601NA.C0012"/>
    <n v="20"/>
    <s v="MOBILE"/>
    <n v="9.9499999999999993"/>
    <s v="Completato"/>
    <s v="Completato"/>
    <x v="1"/>
    <x v="4"/>
    <x v="0"/>
    <x v="0"/>
    <x v="1"/>
    <n v="20"/>
  </r>
  <r>
    <s v="GELSOMINA GIANSANTI"/>
    <s v="GNSGSM85B66F262G"/>
    <x v="1"/>
    <n v="24381336"/>
    <s v="OR-0030649263"/>
    <s v="NR.1217.0601NA.C0019"/>
    <n v="20"/>
    <s v="MOBILE"/>
    <n v="9.9499999999999993"/>
    <s v="Completato"/>
    <s v="Completato"/>
    <x v="0"/>
    <x v="4"/>
    <x v="35"/>
    <x v="0"/>
    <x v="1"/>
    <n v="20"/>
  </r>
  <r>
    <s v="NADIA FALCO"/>
    <s v="FLCNDA79D54E409A"/>
    <x v="1"/>
    <n v="24379570"/>
    <s v="OR-0030639478"/>
    <s v="NR.1217.0601NA.C0059"/>
    <n v="20"/>
    <s v="MOBILE"/>
    <n v="9.9499999999999993"/>
    <s v="Completato"/>
    <s v="Completato"/>
    <x v="2"/>
    <x v="4"/>
    <x v="10"/>
    <x v="0"/>
    <x v="1"/>
    <n v="20"/>
  </r>
  <r>
    <s v="VINCENZO ANTONIO FASANELLA"/>
    <s v="FSNVCN73B28G487P"/>
    <x v="1"/>
    <n v="24394208"/>
    <s v="OR-0030690914"/>
    <s v="NR.1217.0601NA.C0050"/>
    <n v="20"/>
    <s v="MOBILE"/>
    <n v="9.9499999999999993"/>
    <s v="Inviato"/>
    <s v="MNP-IN in Corso"/>
    <x v="8"/>
    <x v="4"/>
    <x v="23"/>
    <x v="3"/>
    <x v="1"/>
    <n v="20"/>
  </r>
  <r>
    <s v="ANNA CHIARA FRISENDA"/>
    <s v="FRSNCH93D41D862F"/>
    <x v="1"/>
    <n v="24390314"/>
    <s v="OR-0030678932"/>
    <s v="NR.1217.0601NA.C0178"/>
    <n v="20"/>
    <s v="MOBILE"/>
    <n v="9.9499999999999993"/>
    <s v="Inviato"/>
    <s v="MNP-IN in Corso"/>
    <x v="7"/>
    <x v="4"/>
    <x v="6"/>
    <x v="2"/>
    <x v="1"/>
    <n v="20"/>
  </r>
  <r>
    <s v="IMMACOLATA ALAGIA"/>
    <s v="LGAMCL30D48G121G"/>
    <x v="1"/>
    <n v="24365580"/>
    <s v="OR-0030581543"/>
    <s v="NR.1217.0601NA.C0218"/>
    <n v="20"/>
    <s v="MOBILE"/>
    <n v="8.9499999999999993"/>
    <s v="Completato"/>
    <s v="Completato"/>
    <x v="5"/>
    <x v="4"/>
    <x v="39"/>
    <x v="0"/>
    <x v="1"/>
    <n v="20"/>
  </r>
  <r>
    <s v="LUIGI RUGGIERI"/>
    <s v="RGGLGU81R23L049T"/>
    <x v="1"/>
    <n v="24366057"/>
    <s v="OR-0030582744"/>
    <s v="NR.1217.0601NA.C0258"/>
    <n v="20"/>
    <s v="MOBILE"/>
    <n v="8.9499999999999993"/>
    <s v="Completato"/>
    <s v="Completato"/>
    <x v="5"/>
    <x v="4"/>
    <x v="52"/>
    <x v="1"/>
    <x v="1"/>
    <n v="20"/>
  </r>
  <r>
    <s v="ANGELA ROSA MILANO"/>
    <s v="MLNNLR59B60A048G"/>
    <x v="1"/>
    <n v="24374418"/>
    <s v="OR-0030619492"/>
    <s v="NR.1217.0601NA.C0012"/>
    <n v="20"/>
    <s v="MOBILE"/>
    <n v="9.9499999999999993"/>
    <s v="Completato"/>
    <s v="Completato"/>
    <x v="10"/>
    <x v="4"/>
    <x v="0"/>
    <x v="0"/>
    <x v="1"/>
    <n v="20"/>
  </r>
  <r>
    <s v="LUCILLA MARTINELLI"/>
    <s v="MRTLLL98M58B619C"/>
    <x v="1"/>
    <n v="24366995"/>
    <s v="OR-0030587007"/>
    <s v="NR.1217.0601NA.C0022"/>
    <n v="20"/>
    <s v="FISSO E MOBILE"/>
    <n v="32.9"/>
    <s v="Inviato"/>
    <s v="Attesa provisioning"/>
    <x v="9"/>
    <x v="4"/>
    <x v="16"/>
    <x v="0"/>
    <x v="1"/>
    <n v="20"/>
  </r>
  <r>
    <s v="BRUNO SERRONE"/>
    <s v="SRRBRN74E23G942E"/>
    <x v="1"/>
    <n v="24370024"/>
    <s v="OR-0030602224"/>
    <s v="NR.1217.0601NA.C0035"/>
    <n v="20"/>
    <s v="MOBILE"/>
    <n v="9.9499999999999993"/>
    <s v="Completato"/>
    <s v="Completato"/>
    <x v="6"/>
    <x v="4"/>
    <x v="53"/>
    <x v="0"/>
    <x v="1"/>
    <n v="20"/>
  </r>
  <r>
    <s v="MATTEO ELIA CAPUTO"/>
    <s v="CPTMTL97A21H926R"/>
    <x v="1"/>
    <n v="24387134"/>
    <s v="OR-0030667367"/>
    <s v="NR.1217.0601NA.C0050"/>
    <n v="20"/>
    <s v="FISSO E MOBILE"/>
    <n v="33.9"/>
    <s v="Inviato"/>
    <s v="In Lavorazione"/>
    <x v="3"/>
    <x v="4"/>
    <x v="23"/>
    <x v="3"/>
    <x v="1"/>
    <n v="20"/>
  </r>
  <r>
    <s v="GIUSEPPINA SCHETTINO"/>
    <s v="SCHGPP72C48A801R"/>
    <x v="1"/>
    <n v="24387922"/>
    <s v="OR-0030672624"/>
    <s v="NR.1217.0601NA.C0166"/>
    <n v="20"/>
    <s v="MOBILE"/>
    <n v="9.9499999999999993"/>
    <s v="Completato"/>
    <s v="Completato"/>
    <x v="7"/>
    <x v="4"/>
    <x v="42"/>
    <x v="0"/>
    <x v="1"/>
    <n v="20"/>
  </r>
  <r>
    <s v="LEONARDO FERRARA"/>
    <s v="FRRLRD93B24D508A"/>
    <x v="1"/>
    <n v="24362226"/>
    <s v="OR-0030570086"/>
    <s v="NR.1217.0601NA.C0221"/>
    <n v="20"/>
    <s v="MOBILE"/>
    <n v="8.9499999999999993"/>
    <s v="Completato"/>
    <s v="Completato"/>
    <x v="11"/>
    <x v="4"/>
    <x v="8"/>
    <x v="0"/>
    <x v="1"/>
    <n v="20"/>
  </r>
  <r>
    <s v="NICOLA PAGLIARULO"/>
    <s v="PGLNCL54E29H643U"/>
    <x v="1"/>
    <n v="24389607"/>
    <s v="OR-0030677309"/>
    <s v="NR.1217.0601NA.C0128"/>
    <n v="20"/>
    <s v="MOBILE"/>
    <n v="9.9499999999999993"/>
    <s v="Completato"/>
    <s v="Completato"/>
    <x v="7"/>
    <x v="4"/>
    <x v="31"/>
    <x v="0"/>
    <x v="1"/>
    <n v="20"/>
  </r>
  <r>
    <s v="LUIGI RUGGIERI"/>
    <s v="RGGLGU81R23L049T"/>
    <x v="1"/>
    <n v="24366017"/>
    <s v="OR-0030582606"/>
    <s v="NR.1217.0601NA.C0258"/>
    <n v="20"/>
    <s v="MOBILE"/>
    <n v="8.9499999999999993"/>
    <s v="Completato"/>
    <s v="Completato"/>
    <x v="5"/>
    <x v="4"/>
    <x v="52"/>
    <x v="1"/>
    <x v="1"/>
    <n v="20"/>
  </r>
  <r>
    <s v="NICCOLO PELLEGRINI"/>
    <s v="PLLNCL99A03B619T"/>
    <x v="1"/>
    <n v="24374600"/>
    <s v="OR-0030620264"/>
    <s v="NR.1217.0601NA.C0259"/>
    <n v="20"/>
    <s v="FISSO E MOBILE"/>
    <n v="33.9"/>
    <s v="Inviato"/>
    <s v="Attesa provisioning"/>
    <x v="10"/>
    <x v="4"/>
    <x v="15"/>
    <x v="3"/>
    <x v="1"/>
    <n v="20"/>
  </r>
  <r>
    <s v="FRANCESCO MONTRONE"/>
    <s v="MNTFNC87R05L219B"/>
    <x v="1"/>
    <n v="24372824"/>
    <s v="OR-0030614516"/>
    <s v="NR.1217.0601NA"/>
    <n v="1100"/>
    <s v="MOBILE"/>
    <n v="9.9499999999999993"/>
    <s v="Completato"/>
    <s v="Completato"/>
    <x v="10"/>
    <x v="4"/>
    <x v="32"/>
    <x v="4"/>
    <x v="1"/>
    <n v="20"/>
  </r>
  <r>
    <s v="GIUSEPPINA DE GIGLIO"/>
    <s v="DGGGPP65S42A662P"/>
    <x v="1"/>
    <n v="24375304"/>
    <s v="OR-0030623086"/>
    <s v="NR.1217.0601NA.C0003"/>
    <n v="20"/>
    <s v="FISSO E MOBILE"/>
    <n v="33.9"/>
    <s v="Completato"/>
    <s v="Completato"/>
    <x v="1"/>
    <x v="4"/>
    <x v="1"/>
    <x v="0"/>
    <x v="1"/>
    <n v="20"/>
  </r>
  <r>
    <s v="ALDA COLELLA"/>
    <s v="CLLLDA80L50B774X"/>
    <x v="1"/>
    <n v="24383068"/>
    <s v="OR-0030653571"/>
    <s v="NR.1217.0601NA.C0003"/>
    <n v="20"/>
    <s v="FISSO E MOBILE"/>
    <n v="33.9"/>
    <s v="Inviato"/>
    <s v="Attesa provisioning"/>
    <x v="0"/>
    <x v="4"/>
    <x v="1"/>
    <x v="0"/>
    <x v="1"/>
    <n v="20"/>
  </r>
  <r>
    <s v="VITO DESANTIS"/>
    <s v="DSNVTI77E26A048G"/>
    <x v="1"/>
    <n v="24372290"/>
    <s v="OR-0030610666"/>
    <s v="NR.1217.0601NA.C0004"/>
    <n v="20"/>
    <s v="MOBILE"/>
    <n v="9.9499999999999993"/>
    <s v="Completato"/>
    <s v="Completato"/>
    <x v="6"/>
    <x v="4"/>
    <x v="2"/>
    <x v="0"/>
    <x v="1"/>
    <n v="20"/>
  </r>
  <r>
    <s v="FRANCESCO PUTIGNANO"/>
    <s v="PTGFNC50E22I330I"/>
    <x v="1"/>
    <n v="24379168"/>
    <s v="OR-0030638381"/>
    <s v="NR.1217.0601NA.C0004"/>
    <n v="20"/>
    <s v="MOBILE"/>
    <n v="9.9499999999999993"/>
    <s v="Completato"/>
    <s v="Completato"/>
    <x v="2"/>
    <x v="4"/>
    <x v="2"/>
    <x v="0"/>
    <x v="1"/>
    <n v="20"/>
  </r>
  <r>
    <s v="PAOLINA GIUSEPPINA BRUNETTI"/>
    <s v="BRNPNG41B50E038R"/>
    <x v="1"/>
    <n v="24367690"/>
    <s v="OR-0030591916"/>
    <s v="NR.1217.0601NA.C0005"/>
    <n v="20"/>
    <s v="MOBILE"/>
    <n v="8.9499999999999993"/>
    <s v="Completato"/>
    <s v="Completato"/>
    <x v="9"/>
    <x v="4"/>
    <x v="54"/>
    <x v="0"/>
    <x v="1"/>
    <n v="20"/>
  </r>
  <r>
    <s v="VITO ANTONIO RACANELLI"/>
    <s v="RCNVNT68T17A662P"/>
    <x v="1"/>
    <n v="24363098"/>
    <s v="OR-0030575807"/>
    <s v="NR.1217.0601NA.C0012"/>
    <n v="20"/>
    <s v="MOBILE"/>
    <n v="8.9499999999999993"/>
    <s v="Completato"/>
    <s v="Completato"/>
    <x v="5"/>
    <x v="4"/>
    <x v="0"/>
    <x v="0"/>
    <x v="1"/>
    <n v="20"/>
  </r>
  <r>
    <s v="CECILIA DE GIULIO"/>
    <s v="DGLCCL47M66A048K"/>
    <x v="1"/>
    <n v="24391072"/>
    <s v="OR-0030681962"/>
    <s v="NR.1217.0601NA.C0012"/>
    <n v="20"/>
    <s v="MOBILE"/>
    <n v="9.9499999999999993"/>
    <s v="Inviato"/>
    <s v="MNP-IN in Corso"/>
    <x v="4"/>
    <x v="4"/>
    <x v="0"/>
    <x v="0"/>
    <x v="1"/>
    <n v="20"/>
  </r>
  <r>
    <s v="ROSA ANNAMARIA SARACCO"/>
    <s v="SRCRNN57P49H277M"/>
    <x v="1"/>
    <n v="24373090"/>
    <s v="OR-0030615359"/>
    <s v="NR.1217.0601NA.C0097"/>
    <n v="20"/>
    <s v="MOBILE"/>
    <n v="9.9499999999999993"/>
    <s v="Completato"/>
    <s v="Completato"/>
    <x v="10"/>
    <x v="4"/>
    <x v="36"/>
    <x v="0"/>
    <x v="1"/>
    <n v="20"/>
  </r>
  <r>
    <s v="GIUSEPPE FEDERICI"/>
    <s v="FDRGPP55P22G942I"/>
    <x v="1"/>
    <n v="24387564"/>
    <s v="OR-0030671653"/>
    <s v="NR.1217.0601NA.C0097"/>
    <n v="20"/>
    <s v="MOBILE"/>
    <n v="9.9499999999999993"/>
    <s v="Inviato"/>
    <s v="MNP-IN in Corso"/>
    <x v="7"/>
    <x v="4"/>
    <x v="36"/>
    <x v="0"/>
    <x v="1"/>
    <n v="20"/>
  </r>
  <r>
    <s v="FRANCESCA MARIA ABBATTISTA"/>
    <s v="BBTFNC91E47L328D"/>
    <x v="1"/>
    <n v="24369256"/>
    <s v="OR-0030596414"/>
    <s v="NR.1217.0601NA.C0123"/>
    <n v="20"/>
    <s v="FISSO E MOBILE"/>
    <n v="32.9"/>
    <s v="Completato"/>
    <s v="Completato"/>
    <x v="9"/>
    <x v="4"/>
    <x v="28"/>
    <x v="0"/>
    <x v="1"/>
    <n v="20"/>
  </r>
  <r>
    <s v="GIUSEPPE BASILE"/>
    <s v="BSLGPP87B07C983X"/>
    <x v="1"/>
    <n v="24387275"/>
    <s v="OR-0030667650"/>
    <s v="NR.1217.0601NA.C0184"/>
    <n v="20"/>
    <s v="MOBILE"/>
    <n v="9.9499999999999993"/>
    <s v="Inviato"/>
    <s v="MNP-IN in Corso"/>
    <x v="3"/>
    <x v="4"/>
    <x v="30"/>
    <x v="0"/>
    <x v="1"/>
    <n v="20"/>
  </r>
  <r>
    <s v="GIOVANNI RAGNO"/>
    <s v="RGNGNN81P13A669Q"/>
    <x v="1"/>
    <n v="24383445"/>
    <s v="OR-0030654138"/>
    <s v="NR.1217.0601NA.C0189"/>
    <n v="20"/>
    <s v="FISSO E MOBILE"/>
    <n v="35.9"/>
    <s v="Inviato"/>
    <s v="Attesa provisioning"/>
    <x v="0"/>
    <x v="4"/>
    <x v="55"/>
    <x v="0"/>
    <x v="1"/>
    <n v="20"/>
  </r>
  <r>
    <s v="ROSA MASTROSERIO"/>
    <s v="MSTRSO76H53E223H"/>
    <x v="1"/>
    <n v="24374239"/>
    <s v="OR-0030619123"/>
    <s v="NR.1217.0601NA.C0144"/>
    <n v="20"/>
    <s v="MOBILE"/>
    <n v="9.9499999999999993"/>
    <s v="Completato"/>
    <s v="Completato"/>
    <x v="10"/>
    <x v="4"/>
    <x v="25"/>
    <x v="0"/>
    <x v="1"/>
    <n v="20"/>
  </r>
  <r>
    <s v="MARTINA CEGLIA"/>
    <s v="CGLMTN04E51B619H"/>
    <x v="1"/>
    <n v="24371891"/>
    <s v="OR-0030609568"/>
    <s v="NR.1217.0601NA.C0159"/>
    <n v="20"/>
    <s v="MOBILE"/>
    <n v="9.9499999999999993"/>
    <s v="Completato"/>
    <s v="Completato"/>
    <x v="6"/>
    <x v="4"/>
    <x v="5"/>
    <x v="0"/>
    <x v="1"/>
    <n v="20"/>
  </r>
  <r>
    <s v="VITANTONIO LEONE"/>
    <s v="LNEVNT52B15E946D"/>
    <x v="1"/>
    <n v="24387683"/>
    <s v="OR-0030672025"/>
    <s v="NR.1217.0601NA.C0159"/>
    <n v="20"/>
    <s v="MOBILE"/>
    <n v="9.9499999999999993"/>
    <s v="Inviato"/>
    <s v="MNP-IN in Corso"/>
    <x v="7"/>
    <x v="4"/>
    <x v="5"/>
    <x v="0"/>
    <x v="1"/>
    <n v="20"/>
  </r>
  <r>
    <s v="GIORGIA LOVECCHIO"/>
    <s v="LVCGRG06H65B180Z"/>
    <x v="1"/>
    <n v="24363259"/>
    <s v="OR-0030576084"/>
    <s v="NR.1217.0601NA.C0212"/>
    <n v="20"/>
    <s v="MOBILE"/>
    <n v="8.9499999999999993"/>
    <s v="Completato"/>
    <s v="Completato"/>
    <x v="5"/>
    <x v="4"/>
    <x v="56"/>
    <x v="1"/>
    <x v="1"/>
    <n v="20"/>
  </r>
  <r>
    <s v="LUCIA DE CIRO"/>
    <s v="DCRLCU48M67C134V"/>
    <x v="1"/>
    <n v="24386901"/>
    <s v="OR-0030667029"/>
    <s v="NR.1217.0601NA.C0216"/>
    <n v="20"/>
    <s v="MOBILE"/>
    <n v="9.9499999999999993"/>
    <s v="Completato"/>
    <s v="Completato"/>
    <x v="3"/>
    <x v="4"/>
    <x v="43"/>
    <x v="0"/>
    <x v="1"/>
    <n v="20"/>
  </r>
  <r>
    <s v="SHPRESA ELMADHI"/>
    <s v="LMDSPR99C68Z100R"/>
    <x v="1"/>
    <n v="24366163"/>
    <s v="OR-0030582855"/>
    <s v="NR.1217.0601NA.C0221"/>
    <n v="20"/>
    <s v="FISSO E MOBILE"/>
    <n v="32.9"/>
    <s v="Completato"/>
    <s v="Completato"/>
    <x v="5"/>
    <x v="4"/>
    <x v="8"/>
    <x v="0"/>
    <x v="1"/>
    <n v="20"/>
  </r>
  <r>
    <s v="FENG XIE"/>
    <s v="XIEFNG85M13Z210Z"/>
    <x v="1"/>
    <n v="24372779"/>
    <s v="OR-0030614552"/>
    <s v="NR.1217.0601NA.C0231"/>
    <n v="20"/>
    <s v="MOBILE"/>
    <n v="9.9499999999999993"/>
    <s v="Completato"/>
    <s v="Completato"/>
    <x v="10"/>
    <x v="4"/>
    <x v="44"/>
    <x v="0"/>
    <x v="1"/>
    <n v="20"/>
  </r>
  <r>
    <s v="VALERIA CORDOVA"/>
    <s v="CRDVLR89E47B619L"/>
    <x v="1"/>
    <n v="24380092"/>
    <s v="OR-0030640913"/>
    <s v="NR.1217.0601NA.C0232"/>
    <n v="20"/>
    <s v="FISSO E MOBILE"/>
    <n v="33.9"/>
    <s v="Inviato"/>
    <s v="Attesa provisioning"/>
    <x v="2"/>
    <x v="4"/>
    <x v="21"/>
    <x v="0"/>
    <x v="1"/>
    <n v="20"/>
  </r>
  <r>
    <s v="MICHELE MACARIO"/>
    <s v="MCRMHL87D14C514G"/>
    <x v="1"/>
    <n v="24391455"/>
    <s v="OR-0030682770"/>
    <s v="NR.1217.0601NA.C0259"/>
    <n v="20"/>
    <s v="FISSO E MOBILE"/>
    <n v="33.9"/>
    <s v="Inviato"/>
    <s v="In Lavorazione"/>
    <x v="4"/>
    <x v="4"/>
    <x v="15"/>
    <x v="3"/>
    <x v="1"/>
    <n v="20"/>
  </r>
  <r>
    <s v="ROSANNA MAZZARELLA"/>
    <s v="MZZRNN66S68C514R"/>
    <x v="1"/>
    <n v="24393323"/>
    <s v="OR-0030687519"/>
    <s v="NR.1217.0601NA.C0259"/>
    <n v="20"/>
    <s v="FISSO E MOBILE"/>
    <n v="33.9"/>
    <s v="Inviato"/>
    <s v="Attesa provisioning"/>
    <x v="4"/>
    <x v="4"/>
    <x v="15"/>
    <x v="3"/>
    <x v="1"/>
    <n v="20"/>
  </r>
  <r>
    <s v="GIOVANNA SILLETTI"/>
    <s v="SLLGNN57M52I330D"/>
    <x v="1"/>
    <n v="24362007"/>
    <s v="OR-0030569708"/>
    <s v="NR.1217.0601NA.C0004"/>
    <n v="20"/>
    <s v="MOBILE"/>
    <n v="8.9499999999999993"/>
    <s v="Completato"/>
    <s v="Completato"/>
    <x v="11"/>
    <x v="4"/>
    <x v="2"/>
    <x v="0"/>
    <x v="1"/>
    <n v="20"/>
  </r>
  <r>
    <s v="ORONZO LEONE"/>
    <s v="LNERNZ86S30I330S"/>
    <x v="1"/>
    <n v="24380926"/>
    <s v="OR-0030648117"/>
    <s v="NR.1217.0601NA.C0004"/>
    <n v="20"/>
    <s v="FISSO E MOBILE"/>
    <n v="35.9"/>
    <s v="Inviato"/>
    <s v="Attesa provisioning"/>
    <x v="0"/>
    <x v="4"/>
    <x v="2"/>
    <x v="0"/>
    <x v="1"/>
    <n v="20"/>
  </r>
  <r>
    <s v="ASMAT PATSATSIA"/>
    <s v="PTSSMT73S66Z254E"/>
    <x v="1"/>
    <n v="24362641"/>
    <s v="OR-0030571116"/>
    <s v="NR.1217.0601NA.C0012"/>
    <n v="20"/>
    <s v="MOBILE"/>
    <n v="8.9499999999999993"/>
    <s v="Completato"/>
    <s v="Completato"/>
    <x v="11"/>
    <x v="4"/>
    <x v="0"/>
    <x v="0"/>
    <x v="1"/>
    <n v="20"/>
  </r>
  <r>
    <s v="LEONARDO BALENZANO"/>
    <s v="BLNLRD74S19A048C"/>
    <x v="1"/>
    <n v="24379847"/>
    <s v="OR-0030640217"/>
    <s v="NR.1217.0601NA.C0012"/>
    <n v="20"/>
    <s v="FISSO E MOBILE"/>
    <n v="33.9"/>
    <s v="Inviato"/>
    <s v="Attesa provisioning"/>
    <x v="2"/>
    <x v="4"/>
    <x v="0"/>
    <x v="0"/>
    <x v="1"/>
    <n v="20"/>
  </r>
  <r>
    <s v="TOMMASO OROFINO"/>
    <s v="RFNTMS58C04B923Y"/>
    <x v="1"/>
    <n v="24366792"/>
    <s v="OR-0030586302"/>
    <s v="NR.1217.0601NA.C0019"/>
    <n v="20"/>
    <s v="FISSO E MOBILE"/>
    <n v="34.9"/>
    <s v="Inviato"/>
    <s v="Attesa provisioning"/>
    <x v="9"/>
    <x v="4"/>
    <x v="35"/>
    <x v="0"/>
    <x v="1"/>
    <n v="20"/>
  </r>
  <r>
    <s v="GIOVANNI STEFANO MICHELE"/>
    <s v="MCHGNN98C16G791C"/>
    <x v="1"/>
    <n v="24370115"/>
    <s v="OR-0030602890"/>
    <s v="NR.1217.0601NA.C0059"/>
    <n v="20"/>
    <s v="MOBILE"/>
    <n v="9.9499999999999993"/>
    <s v="Completato"/>
    <s v="Completato"/>
    <x v="6"/>
    <x v="4"/>
    <x v="10"/>
    <x v="0"/>
    <x v="1"/>
    <n v="20"/>
  </r>
  <r>
    <s v="ALBERTO TRAMACERE"/>
    <s v="TRMLRT01E06D862Q"/>
    <x v="1"/>
    <n v="24393480"/>
    <s v="OR-0030687834"/>
    <s v="NR.1217.0601NA.C0088"/>
    <n v="20"/>
    <s v="FISSO E MOBILE"/>
    <n v="33.9"/>
    <s v="Inviato"/>
    <s v="Attesa provisioning"/>
    <x v="4"/>
    <x v="4"/>
    <x v="29"/>
    <x v="2"/>
    <x v="1"/>
    <n v="20"/>
  </r>
  <r>
    <s v="LUCREZIA MASTROMATTEO"/>
    <s v="MSTLRZ71C58G487Z"/>
    <x v="1"/>
    <n v="24394355"/>
    <s v="OR-0030691162"/>
    <s v="NR.1217.0601NA.C0050"/>
    <n v="20"/>
    <s v="MOBILE"/>
    <n v="9.9499999999999993"/>
    <s v="Inviato"/>
    <s v="MNP-IN in Corso"/>
    <x v="8"/>
    <x v="4"/>
    <x v="23"/>
    <x v="3"/>
    <x v="1"/>
    <n v="20"/>
  </r>
  <r>
    <s v="VITO COSIMO BARBERIO"/>
    <s v="BRBVCS77E18F052A"/>
    <x v="1"/>
    <n v="24369368"/>
    <s v="OR-0030596777"/>
    <s v="NR.1217.0601NA.C0111"/>
    <n v="20"/>
    <s v="MOBILE"/>
    <n v="8.9499999999999993"/>
    <s v="Completato"/>
    <s v="Completato"/>
    <x v="9"/>
    <x v="4"/>
    <x v="57"/>
    <x v="0"/>
    <x v="1"/>
    <n v="20"/>
  </r>
  <r>
    <s v="CATALDO CAMPIONE"/>
    <s v="CMPCLD87H10C983I"/>
    <x v="1"/>
    <n v="24362651"/>
    <s v="OR-0030571024"/>
    <s v="NR.1217.0601NA.C0184"/>
    <n v="20"/>
    <s v="FISSO E MOBILE"/>
    <n v="32.9"/>
    <s v="Inviato"/>
    <s v="Attesa provisioning"/>
    <x v="11"/>
    <x v="4"/>
    <x v="30"/>
    <x v="0"/>
    <x v="1"/>
    <n v="20"/>
  </r>
  <r>
    <s v="FABRIZIO BASSO"/>
    <s v="BSSFRZ88L06C978H"/>
    <x v="1"/>
    <n v="24393514"/>
    <s v="OR-0030687946"/>
    <s v="NR.1217.0601NA.C0150"/>
    <n v="20"/>
    <s v="MOBILE"/>
    <n v="9.9499999999999993"/>
    <s v="Inviato"/>
    <s v="MNP-IN in Corso"/>
    <x v="4"/>
    <x v="4"/>
    <x v="12"/>
    <x v="2"/>
    <x v="1"/>
    <n v="20"/>
  </r>
  <r>
    <s v="LEANDRO DAMIAN ALMEYRA VENA"/>
    <s v="LMYLDR01B28Z600J"/>
    <x v="1"/>
    <n v="24374942"/>
    <s v="OR-0030622173"/>
    <s v="NR.1217.0601NA.C0178"/>
    <n v="20"/>
    <s v="FISSO E MOBILE"/>
    <n v="33.9"/>
    <s v="Inviato"/>
    <s v="Attesa provisioning"/>
    <x v="1"/>
    <x v="4"/>
    <x v="6"/>
    <x v="2"/>
    <x v="1"/>
    <n v="20"/>
  </r>
  <r>
    <s v="MARIA NATCHATHIRAM GNANA PRAKASAM"/>
    <s v="GNNMNT83E60Z222S"/>
    <x v="1"/>
    <n v="24362842"/>
    <s v="OR-0030571592"/>
    <s v="NR.1217.0601NA.C0180"/>
    <n v="20"/>
    <s v="MOBILE"/>
    <n v="8.9499999999999993"/>
    <s v="Completato"/>
    <s v="Completato"/>
    <x v="11"/>
    <x v="4"/>
    <x v="34"/>
    <x v="0"/>
    <x v="1"/>
    <n v="20"/>
  </r>
  <r>
    <s v="SANTE RUBINO"/>
    <s v="RBNSNT72S15A662B"/>
    <x v="1"/>
    <n v="24366218"/>
    <s v="OR-0030583038"/>
    <s v="NR.1217.0601NA.C0221"/>
    <n v="20"/>
    <s v="MOBILE"/>
    <n v="8.9499999999999993"/>
    <s v="Completato"/>
    <s v="Completato"/>
    <x v="5"/>
    <x v="4"/>
    <x v="8"/>
    <x v="0"/>
    <x v="1"/>
    <n v="20"/>
  </r>
  <r>
    <s v="DOMENICO MITE"/>
    <s v="MTIDNC41L04E155W"/>
    <x v="1"/>
    <n v="24381200"/>
    <s v="OR-0030648855"/>
    <s v="NR.1217.0601NA.C0245"/>
    <n v="20"/>
    <s v="FISSO E MOBILE"/>
    <n v="35.9"/>
    <s v="Inviato"/>
    <s v="Inviato in Fatturazione"/>
    <x v="0"/>
    <x v="4"/>
    <x v="49"/>
    <x v="0"/>
    <x v="1"/>
    <n v="20"/>
  </r>
  <r>
    <s v="MARINELLI VINCENZO"/>
    <s v="02344010711"/>
    <x v="0"/>
    <n v="24391627"/>
    <s v="OR-0030683252"/>
    <s v="NS.1638.0601NA.C0259"/>
    <n v="350"/>
    <s v="FISSO E MOBILE"/>
    <n v="38.9"/>
    <s v="Inviato"/>
    <s v="In Lavorazione"/>
    <x v="4"/>
    <x v="5"/>
    <x v="15"/>
    <x v="3"/>
    <x v="1"/>
    <n v="24.4"/>
  </r>
  <r>
    <s v="AF ENTERPRISE S.R.L."/>
    <s v="05185180758"/>
    <x v="0"/>
    <n v="24388569"/>
    <s v="OR-0030673734"/>
    <s v="NS.1638.0601NA.C0272"/>
    <n v="42"/>
    <s v="MOBILE"/>
    <n v="21.9"/>
    <s v="Inviato"/>
    <s v="MNP-IN in Corso"/>
    <x v="7"/>
    <x v="5"/>
    <x v="58"/>
    <x v="2"/>
    <x v="1"/>
    <n v="24.4"/>
  </r>
  <r>
    <s v="AF ENTERPRISE S.R.L."/>
    <s v="05185180758"/>
    <x v="0"/>
    <n v="24388569"/>
    <s v="OR-0030673734"/>
    <s v="NS.1638.0601NA.C0272"/>
    <n v="42"/>
    <s v="MOBILE"/>
    <n v="21.9"/>
    <s v="Inviato"/>
    <s v="MNP-IN in Corso"/>
    <x v="7"/>
    <x v="5"/>
    <x v="58"/>
    <x v="2"/>
    <x v="1"/>
    <n v="24.4"/>
  </r>
  <r>
    <s v="STEFANO NICOLACI"/>
    <s v="NCLSFN80H13Z112P"/>
    <x v="1"/>
    <n v="24360252"/>
    <s v="OR-0030564674"/>
    <s v="NR.1217.0601NA.C0201"/>
    <n v="23"/>
    <s v="MOBILE"/>
    <n v="12.95"/>
    <s v="Completato"/>
    <s v="Completato"/>
    <x v="11"/>
    <x v="6"/>
    <x v="59"/>
    <x v="2"/>
    <x v="1"/>
    <n v="22"/>
  </r>
  <r>
    <s v="GESSICA DANIELI"/>
    <s v="DNLGSC80A51F842Y"/>
    <x v="1"/>
    <n v="24368980"/>
    <s v="OR-0030596000"/>
    <s v="NR.1217.0601NA"/>
    <n v="23"/>
    <s v="MOBILE"/>
    <n v="12.95"/>
    <s v="Completato"/>
    <s v="Completato"/>
    <x v="9"/>
    <x v="6"/>
    <x v="32"/>
    <x v="4"/>
    <x v="1"/>
    <n v="22"/>
  </r>
  <r>
    <s v="ENGJELLUSHE PASHOLLARI"/>
    <s v="PSHNJL51B45Z100K"/>
    <x v="1"/>
    <n v="24362710"/>
    <s v="OR-0030571241"/>
    <s v="NR.1217.0601NA.C0248"/>
    <n v="23"/>
    <s v="MOBILE"/>
    <n v="12.95"/>
    <s v="Completato"/>
    <s v="Completato"/>
    <x v="11"/>
    <x v="6"/>
    <x v="22"/>
    <x v="0"/>
    <x v="1"/>
    <n v="22"/>
  </r>
  <r>
    <s v="ALBERTO STABILITO"/>
    <s v="STBLRT74P06I158K"/>
    <x v="1"/>
    <n v="24228138"/>
    <s v="OR-0030571270"/>
    <s v="NR.1217.0601NA.C0266"/>
    <n v="23"/>
    <s v="MOBILE"/>
    <n v="12.95"/>
    <s v="Completato"/>
    <s v="Completato"/>
    <x v="11"/>
    <x v="6"/>
    <x v="33"/>
    <x v="3"/>
    <x v="1"/>
    <n v="22"/>
  </r>
  <r>
    <s v="MARINELLI VINCENZO"/>
    <s v="02344010711"/>
    <x v="0"/>
    <n v="24391627"/>
    <s v="OR-0030683252"/>
    <s v="NS.1638.0601NA.C0259"/>
    <n v="350"/>
    <s v="FISSO E MOBILE"/>
    <n v="38.9"/>
    <s v="Inviato"/>
    <s v="In Lavorazione"/>
    <x v="4"/>
    <x v="7"/>
    <x v="15"/>
    <x v="3"/>
    <x v="0"/>
    <n v="0"/>
  </r>
  <r>
    <s v="MICAELA BERNARDI"/>
    <s v="BRNMCL85E46E205J"/>
    <x v="1"/>
    <n v="12710303"/>
    <s v="OR-0030678095"/>
    <s v="NR.1217.0601NA.C0258"/>
    <n v="0"/>
    <s v="FISSO"/>
    <n v="25.95"/>
    <s v="Inviato"/>
    <s v="In Lavorazione"/>
    <x v="7"/>
    <x v="8"/>
    <x v="52"/>
    <x v="1"/>
    <x v="0"/>
    <n v="0"/>
  </r>
  <r>
    <s v="MICHELE ANNESE"/>
    <s v="NNSMHL67T07C514H"/>
    <x v="1"/>
    <n v="24383309"/>
    <s v="OR-0030654051"/>
    <s v="NR.1217.0601NA.C0259"/>
    <n v="20"/>
    <s v="FISSO E MOBILE"/>
    <n v="35.9"/>
    <s v="Inviato"/>
    <s v="In Lavorazione"/>
    <x v="0"/>
    <x v="8"/>
    <x v="15"/>
    <x v="3"/>
    <x v="0"/>
    <n v="0"/>
  </r>
  <r>
    <s v="MATTEO LASTELLA"/>
    <s v="LSTMTT52A06C514H"/>
    <x v="1"/>
    <n v="24233879"/>
    <s v="OR-0030651208"/>
    <s v="NR.1217.0601NA.C0259"/>
    <n v="0"/>
    <s v="FISSO"/>
    <n v="25.95"/>
    <s v="Inviato"/>
    <s v="Attesa provisioning"/>
    <x v="0"/>
    <x v="8"/>
    <x v="15"/>
    <x v="3"/>
    <x v="0"/>
    <n v="0"/>
  </r>
  <r>
    <s v="FABRIZIO RICCHIUTI"/>
    <s v="RCCFRZ72L10B810W"/>
    <x v="1"/>
    <n v="24376945"/>
    <s v="OR-0030630193"/>
    <s v="NR.1217.0601NA.C0011"/>
    <n v="0"/>
    <s v="FISSO"/>
    <n v="29.95"/>
    <s v="Inviato"/>
    <s v="Attesa provisioning"/>
    <x v="2"/>
    <x v="8"/>
    <x v="60"/>
    <x v="3"/>
    <x v="0"/>
    <n v="0"/>
  </r>
  <r>
    <s v="CAMILLA BELLOMO"/>
    <s v="BLLCLL75M57A048O"/>
    <x v="1"/>
    <n v="24374440"/>
    <s v="OR-0030619534"/>
    <s v="NR.1217.0601NA.C0019"/>
    <n v="20"/>
    <s v="FISSO E MOBILE"/>
    <n v="35.9"/>
    <s v="Inviato"/>
    <s v="Attesa provisioning"/>
    <x v="10"/>
    <x v="8"/>
    <x v="35"/>
    <x v="0"/>
    <x v="0"/>
    <n v="0"/>
  </r>
  <r>
    <s v="MANUELE PENZA"/>
    <s v="PNZMNL06M12M289D"/>
    <x v="1"/>
    <n v="24387185"/>
    <s v="OR-0030667580"/>
    <s v="NR.1217.0601NA.C0221"/>
    <n v="0"/>
    <s v="FISSO"/>
    <n v="29.95"/>
    <s v="Inviato"/>
    <s v="Attesa provisioning"/>
    <x v="3"/>
    <x v="8"/>
    <x v="8"/>
    <x v="0"/>
    <x v="0"/>
    <n v="0"/>
  </r>
  <r>
    <s v="PAOLO MICIA"/>
    <s v="MCIPLA81H17D862Q"/>
    <x v="1"/>
    <n v="24391779"/>
    <s v="OR-0030683616"/>
    <s v="NR.1217.0601NA.C0049"/>
    <n v="20"/>
    <s v="FISSO E MOBILE"/>
    <n v="35.9"/>
    <s v="Inviato"/>
    <s v="In Lavorazione"/>
    <x v="4"/>
    <x v="8"/>
    <x v="46"/>
    <x v="2"/>
    <x v="0"/>
    <n v="0"/>
  </r>
  <r>
    <s v="ANTONIO GRILLO"/>
    <s v="GRLNTN84M14B619J"/>
    <x v="1"/>
    <n v="24372827"/>
    <s v="OR-0030614710"/>
    <s v="NR.1217.0601NA.C0259"/>
    <n v="20"/>
    <s v="FISSO E MOBILE"/>
    <n v="35.9"/>
    <s v="Inviato"/>
    <s v="Attesa provisioning"/>
    <x v="10"/>
    <x v="8"/>
    <x v="15"/>
    <x v="3"/>
    <x v="0"/>
    <n v="0"/>
  </r>
  <r>
    <s v="PAMELA VITULLO"/>
    <s v="VTLPML71C44C514I"/>
    <x v="1"/>
    <n v="24387286"/>
    <s v="OR-0030667633"/>
    <s v="NR.1217.0601NA.C0259"/>
    <n v="40"/>
    <s v="FISSO E MOBILE"/>
    <n v="45.85"/>
    <s v="In attesa di approvazione"/>
    <s v="Parcheggiato"/>
    <x v="3"/>
    <x v="8"/>
    <x v="15"/>
    <x v="3"/>
    <x v="0"/>
    <n v="0"/>
  </r>
  <r>
    <s v="KATIA MURANO"/>
    <s v="MRNKTA03D46B619R"/>
    <x v="1"/>
    <n v="24390405"/>
    <s v="OR-0030679045"/>
    <s v="NR.1217.0601NA.C0264"/>
    <n v="20"/>
    <s v="FISSO E MOBILE"/>
    <n v="35.9"/>
    <s v="Inviato"/>
    <s v="In Lavorazione"/>
    <x v="7"/>
    <x v="8"/>
    <x v="50"/>
    <x v="0"/>
    <x v="0"/>
    <n v="0"/>
  </r>
  <r>
    <s v="TOMMASO OROFINO"/>
    <s v="RFNTMS58C04B923Y"/>
    <x v="1"/>
    <n v="24366942"/>
    <s v="OR-0030586890"/>
    <s v="NR.1217.0601NA.C0019"/>
    <n v="20"/>
    <s v="FISSO E MOBILE"/>
    <n v="34.9"/>
    <s v="Inviato"/>
    <s v="Attesa provisioning"/>
    <x v="9"/>
    <x v="8"/>
    <x v="35"/>
    <x v="0"/>
    <x v="0"/>
    <n v="0"/>
  </r>
  <r>
    <s v="GIUSEPPE TAFUNO"/>
    <s v="TFNGPP38H19A225H"/>
    <x v="1"/>
    <n v="24374433"/>
    <s v="OR-0030619553"/>
    <s v="NR.1217.0601NA.C0003"/>
    <n v="0"/>
    <s v="FISSO"/>
    <n v="29.95"/>
    <s v="Inviato"/>
    <s v="Attesa provisioning"/>
    <x v="10"/>
    <x v="8"/>
    <x v="1"/>
    <x v="0"/>
    <x v="0"/>
    <n v="0"/>
  </r>
  <r>
    <s v="GIACOMO LEO"/>
    <s v="LEOGCM91R20Z112C"/>
    <x v="1"/>
    <n v="24215372"/>
    <s v="OR-0030596830"/>
    <s v="NR.1217.0601NA.C0150"/>
    <n v="0"/>
    <s v="FISSO"/>
    <n v="25.95"/>
    <s v="Completato"/>
    <s v="Completato"/>
    <x v="9"/>
    <x v="8"/>
    <x v="12"/>
    <x v="2"/>
    <x v="0"/>
    <n v="0"/>
  </r>
  <r>
    <s v="PRUDENZA DI TURI"/>
    <s v="DTRPDN48R69I053M"/>
    <x v="1"/>
    <n v="24374634"/>
    <s v="OR-0030620641"/>
    <s v="NR.1217.0601NA.C0012"/>
    <n v="0"/>
    <s v="FISSO"/>
    <n v="29.95"/>
    <s v="Inviato"/>
    <s v="Inviato in Fatturazione"/>
    <x v="10"/>
    <x v="8"/>
    <x v="0"/>
    <x v="0"/>
    <x v="0"/>
    <n v="0"/>
  </r>
  <r>
    <s v="GIOVANNI RAGNO"/>
    <s v="RGNGNN81P13A669Q"/>
    <x v="1"/>
    <n v="24383445"/>
    <s v="OR-0030654138"/>
    <s v="NR.1217.0601NA.C0189"/>
    <n v="20"/>
    <s v="FISSO E MOBILE"/>
    <n v="35.9"/>
    <s v="Inviato"/>
    <s v="Attesa provisioning"/>
    <x v="0"/>
    <x v="8"/>
    <x v="55"/>
    <x v="0"/>
    <x v="0"/>
    <n v="0"/>
  </r>
  <r>
    <s v="TOMMASO OROFINO"/>
    <s v="RFNTMS58C04B923Y"/>
    <x v="1"/>
    <n v="24366792"/>
    <s v="OR-0030586302"/>
    <s v="NR.1217.0601NA.C0019"/>
    <n v="20"/>
    <s v="FISSO E MOBILE"/>
    <n v="34.9"/>
    <s v="Inviato"/>
    <s v="Attesa provisioning"/>
    <x v="9"/>
    <x v="8"/>
    <x v="35"/>
    <x v="0"/>
    <x v="0"/>
    <n v="0"/>
  </r>
  <r>
    <s v="DOMENICO MITE"/>
    <s v="MTIDNC41L04E155W"/>
    <x v="1"/>
    <n v="24381200"/>
    <s v="OR-0030648855"/>
    <s v="NR.1217.0601NA.C0245"/>
    <n v="20"/>
    <s v="FISSO E MOBILE"/>
    <n v="35.9"/>
    <s v="Inviato"/>
    <s v="Inviato in Fatturazione"/>
    <x v="0"/>
    <x v="8"/>
    <x v="49"/>
    <x v="0"/>
    <x v="0"/>
    <n v="0"/>
  </r>
  <r>
    <s v="LORENZO PIRAS"/>
    <s v="PRSLNZ06D22B791G"/>
    <x v="1"/>
    <n v="24342044"/>
    <s v="OR-0030663235"/>
    <s v="NR.1217.0601NA.C0221"/>
    <n v="0"/>
    <s v="FISSO"/>
    <n v="27.95"/>
    <s v="Completato"/>
    <s v="Completato"/>
    <x v="3"/>
    <x v="9"/>
    <x v="8"/>
    <x v="0"/>
    <x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69F8FD-0F2B-4402-BE88-2881370E0716}" name="PivotTable9" cacheId="8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154" firstHeaderRow="1" firstDataRow="1" firstDataCol="1" rowPageCount="2" colPageCount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numFmtId="14" multipleItemSelectionAllowed="1" showAll="0">
      <items count="486">
        <item m="1" x="464"/>
        <item m="1" x="480"/>
        <item m="1" x="482"/>
        <item m="1" x="462"/>
        <item m="1" x="473"/>
        <item m="1" x="457"/>
        <item m="1" x="475"/>
        <item m="1" x="472"/>
        <item m="1" x="479"/>
        <item m="1" x="467"/>
        <item m="1" x="476"/>
        <item m="1" x="468"/>
        <item m="1" x="474"/>
        <item m="1" x="463"/>
        <item m="1" x="460"/>
        <item m="1" x="483"/>
        <item m="1" x="459"/>
        <item m="1" x="465"/>
        <item m="1" x="470"/>
        <item m="1" x="471"/>
        <item m="1" x="458"/>
        <item m="1" x="481"/>
        <item m="1" x="456"/>
        <item m="1" x="466"/>
        <item m="1" x="469"/>
        <item m="1" x="478"/>
        <item m="1" x="477"/>
        <item m="1" x="461"/>
        <item m="1" x="484"/>
        <item m="1" x="452"/>
        <item m="1" x="434"/>
        <item m="1" x="446"/>
        <item m="1" x="445"/>
        <item m="1" x="450"/>
        <item m="1" x="442"/>
        <item m="1" x="430"/>
        <item m="1" x="439"/>
        <item m="1" x="441"/>
        <item m="1" x="448"/>
        <item m="1" x="429"/>
        <item m="1" x="453"/>
        <item m="1" x="444"/>
        <item m="1" x="432"/>
        <item m="1" x="440"/>
        <item m="1" x="449"/>
        <item m="1" x="433"/>
        <item m="1" x="431"/>
        <item m="1" x="455"/>
        <item m="1" x="451"/>
        <item m="1" x="447"/>
        <item m="1" x="437"/>
        <item m="1" x="443"/>
        <item m="1" x="435"/>
        <item m="1" x="454"/>
        <item m="1" x="436"/>
        <item m="1" x="438"/>
        <item m="1" x="407"/>
        <item m="1" x="404"/>
        <item m="1" x="410"/>
        <item m="1" x="420"/>
        <item m="1" x="409"/>
        <item m="1" x="421"/>
        <item m="1" x="426"/>
        <item m="1" x="425"/>
        <item m="1" x="423"/>
        <item m="1" x="411"/>
        <item m="1" x="427"/>
        <item m="1" x="408"/>
        <item m="1" x="418"/>
        <item m="1" x="416"/>
        <item m="1" x="422"/>
        <item m="1" x="415"/>
        <item m="1" x="419"/>
        <item m="1" x="406"/>
        <item m="1" x="414"/>
        <item m="1" x="405"/>
        <item m="1" x="424"/>
        <item m="1" x="412"/>
        <item m="1" x="417"/>
        <item m="1" x="413"/>
        <item m="1" x="428"/>
        <item m="1" x="403"/>
        <item m="1" x="379"/>
        <item m="1" x="390"/>
        <item m="1" x="387"/>
        <item m="1" x="395"/>
        <item m="1" x="397"/>
        <item m="1" x="391"/>
        <item m="1" x="384"/>
        <item m="1" x="385"/>
        <item m="1" x="392"/>
        <item m="1" x="396"/>
        <item m="1" x="401"/>
        <item m="1" x="383"/>
        <item m="1" x="389"/>
        <item m="1" x="382"/>
        <item m="1" x="386"/>
        <item m="1" x="399"/>
        <item m="1" x="388"/>
        <item m="1" x="398"/>
        <item m="1" x="400"/>
        <item m="1" x="378"/>
        <item m="1" x="380"/>
        <item m="1" x="394"/>
        <item m="1" x="402"/>
        <item m="1" x="381"/>
        <item m="1" x="393"/>
        <item m="1" x="356"/>
        <item m="1" x="364"/>
        <item m="1" x="371"/>
        <item m="1" x="353"/>
        <item m="1" x="373"/>
        <item m="1" x="375"/>
        <item m="1" x="357"/>
        <item m="1" x="354"/>
        <item m="1" x="355"/>
        <item m="1" x="370"/>
        <item m="1" x="360"/>
        <item m="1" x="377"/>
        <item m="1" x="362"/>
        <item m="1" x="363"/>
        <item m="1" x="376"/>
        <item m="1" x="359"/>
        <item m="1" x="369"/>
        <item m="1" x="372"/>
        <item m="1" x="366"/>
        <item m="1" x="365"/>
        <item m="1" x="358"/>
        <item m="1" x="374"/>
        <item m="1" x="361"/>
        <item m="1" x="367"/>
        <item m="1" x="368"/>
        <item m="1" x="352"/>
        <item m="1" x="351"/>
        <item m="1" x="326"/>
        <item m="1" x="327"/>
        <item m="1" x="329"/>
        <item m="1" x="342"/>
        <item m="1" x="349"/>
        <item m="1" x="333"/>
        <item m="1" x="330"/>
        <item m="1" x="334"/>
        <item m="1" x="338"/>
        <item m="1" x="340"/>
        <item m="1" x="341"/>
        <item m="1" x="346"/>
        <item m="1" x="345"/>
        <item m="1" x="350"/>
        <item m="1" x="331"/>
        <item m="1" x="348"/>
        <item m="1" x="325"/>
        <item m="1" x="343"/>
        <item m="1" x="339"/>
        <item m="1" x="344"/>
        <item m="1" x="347"/>
        <item m="1" x="332"/>
        <item m="1" x="328"/>
        <item m="1" x="336"/>
        <item m="1" x="335"/>
        <item m="1" x="337"/>
        <item m="1" x="320"/>
        <item m="1" x="323"/>
        <item m="1" x="319"/>
        <item m="1" x="318"/>
        <item m="1" x="315"/>
        <item m="1" x="316"/>
        <item m="1" x="304"/>
        <item m="1" x="321"/>
        <item m="1" x="314"/>
        <item m="1" x="303"/>
        <item m="1" x="310"/>
        <item m="1" x="311"/>
        <item m="1" x="317"/>
        <item m="1" x="302"/>
        <item m="1" x="309"/>
        <item m="1" x="307"/>
        <item m="1" x="308"/>
        <item m="1" x="313"/>
        <item m="1" x="322"/>
        <item m="1" x="301"/>
        <item m="1" x="312"/>
        <item m="1" x="324"/>
        <item m="1" x="300"/>
        <item m="1" x="306"/>
        <item m="1" x="305"/>
        <item m="1" x="294"/>
        <item m="1" x="293"/>
        <item m="1" x="289"/>
        <item m="1" x="283"/>
        <item m="1" x="298"/>
        <item m="1" x="286"/>
        <item m="1" x="274"/>
        <item m="1" x="273"/>
        <item m="1" x="295"/>
        <item m="1" x="290"/>
        <item m="1" x="279"/>
        <item m="1" x="287"/>
        <item m="1" x="280"/>
        <item m="1" x="292"/>
        <item m="1" x="284"/>
        <item m="1" x="272"/>
        <item m="1" x="291"/>
        <item m="1" x="277"/>
        <item m="1" x="285"/>
        <item m="1" x="276"/>
        <item m="1" x="275"/>
        <item m="1" x="278"/>
        <item m="1" x="297"/>
        <item m="1" x="281"/>
        <item m="1" x="296"/>
        <item m="1" x="282"/>
        <item m="1" x="288"/>
        <item m="1" x="299"/>
        <item m="1" x="256"/>
        <item m="1" x="270"/>
        <item m="1" x="271"/>
        <item m="1" x="265"/>
        <item m="1" x="260"/>
        <item m="1" x="254"/>
        <item m="1" x="266"/>
        <item m="1" x="249"/>
        <item m="1" x="246"/>
        <item m="1" x="269"/>
        <item m="1" x="251"/>
        <item m="1" x="245"/>
        <item m="1" x="255"/>
        <item m="1" x="250"/>
        <item m="1" x="263"/>
        <item m="1" x="261"/>
        <item m="1" x="259"/>
        <item m="1" x="247"/>
        <item m="1" x="244"/>
        <item m="1" x="257"/>
        <item m="1" x="248"/>
        <item m="1" x="264"/>
        <item m="1" x="262"/>
        <item m="1" x="253"/>
        <item m="1" x="258"/>
        <item m="1" x="252"/>
        <item m="1" x="268"/>
        <item m="1" x="267"/>
        <item m="1" x="219"/>
        <item m="1" x="232"/>
        <item m="1" x="224"/>
        <item m="1" x="234"/>
        <item m="1" x="225"/>
        <item m="1" x="226"/>
        <item m="1" x="220"/>
        <item m="1" x="236"/>
        <item m="1" x="217"/>
        <item m="1" x="230"/>
        <item m="1" x="237"/>
        <item m="1" x="227"/>
        <item m="1" x="243"/>
        <item m="1" x="221"/>
        <item m="1" x="218"/>
        <item m="1" x="233"/>
        <item m="1" x="235"/>
        <item m="1" x="222"/>
        <item m="1" x="229"/>
        <item m="1" x="240"/>
        <item m="1" x="228"/>
        <item m="1" x="231"/>
        <item m="1" x="223"/>
        <item m="1" x="239"/>
        <item m="1" x="242"/>
        <item m="1" x="238"/>
        <item m="1" x="241"/>
        <item m="1" x="204"/>
        <item m="1" x="206"/>
        <item m="1" x="198"/>
        <item m="1" x="216"/>
        <item m="1" x="199"/>
        <item m="1" x="203"/>
        <item m="1" x="197"/>
        <item m="1" x="205"/>
        <item m="1" x="214"/>
        <item m="1" x="196"/>
        <item m="1" x="193"/>
        <item m="1" x="212"/>
        <item m="1" x="213"/>
        <item m="1" x="211"/>
        <item m="1" x="215"/>
        <item m="1" x="201"/>
        <item m="1" x="192"/>
        <item m="1" x="200"/>
        <item m="1" x="191"/>
        <item m="1" x="195"/>
        <item m="1" x="208"/>
        <item m="1" x="210"/>
        <item m="1" x="194"/>
        <item m="1" x="209"/>
        <item m="1" x="207"/>
        <item m="1" x="202"/>
        <item m="1" x="185"/>
        <item m="1" x="183"/>
        <item m="1" x="169"/>
        <item m="1" x="172"/>
        <item m="1" x="184"/>
        <item m="1" x="186"/>
        <item m="1" x="189"/>
        <item m="1" x="182"/>
        <item m="1" x="168"/>
        <item m="1" x="175"/>
        <item m="1" x="181"/>
        <item m="1" x="179"/>
        <item m="1" x="188"/>
        <item m="1" x="174"/>
        <item m="1" x="178"/>
        <item m="1" x="180"/>
        <item m="1" x="187"/>
        <item m="1" x="177"/>
        <item m="1" x="190"/>
        <item m="1" x="171"/>
        <item m="1" x="167"/>
        <item m="1" x="170"/>
        <item m="1" x="173"/>
        <item m="1" x="176"/>
        <item m="1" x="161"/>
        <item m="1" x="166"/>
        <item m="1" x="141"/>
        <item m="1" x="147"/>
        <item m="1" x="156"/>
        <item m="1" x="144"/>
        <item m="1" x="151"/>
        <item m="1" x="159"/>
        <item m="1" x="142"/>
        <item m="1" x="145"/>
        <item m="1" x="154"/>
        <item m="1" x="155"/>
        <item m="1" x="163"/>
        <item m="1" x="158"/>
        <item m="1" x="148"/>
        <item m="1" x="164"/>
        <item m="1" x="162"/>
        <item m="1" x="146"/>
        <item m="1" x="152"/>
        <item m="1" x="143"/>
        <item m="1" x="157"/>
        <item m="1" x="149"/>
        <item m="1" x="160"/>
        <item m="1" x="153"/>
        <item m="1" x="165"/>
        <item m="1" x="150"/>
        <item m="1" x="130"/>
        <item m="1" x="122"/>
        <item m="1" x="116"/>
        <item m="1" x="119"/>
        <item m="1" x="135"/>
        <item m="1" x="133"/>
        <item m="1" x="121"/>
        <item m="1" x="117"/>
        <item m="1" x="126"/>
        <item m="1" x="128"/>
        <item m="1" x="139"/>
        <item m="1" x="136"/>
        <item m="1" x="134"/>
        <item m="1" x="120"/>
        <item m="1" x="137"/>
        <item m="1" x="127"/>
        <item m="1" x="138"/>
        <item m="1" x="125"/>
        <item m="1" x="124"/>
        <item m="1" x="129"/>
        <item m="1" x="131"/>
        <item m="1" x="140"/>
        <item m="1" x="132"/>
        <item m="1" x="118"/>
        <item m="1" x="123"/>
        <item m="1" x="98"/>
        <item m="1" x="104"/>
        <item m="1" x="97"/>
        <item m="1" x="91"/>
        <item m="1" x="89"/>
        <item m="1" x="105"/>
        <item m="1" x="92"/>
        <item m="1" x="93"/>
        <item m="1" x="103"/>
        <item m="1" x="108"/>
        <item m="1" x="96"/>
        <item m="1" x="95"/>
        <item m="1" x="101"/>
        <item m="1" x="107"/>
        <item m="1" x="115"/>
        <item m="1" x="113"/>
        <item m="1" x="94"/>
        <item m="1" x="102"/>
        <item m="1" x="99"/>
        <item m="1" x="106"/>
        <item m="1" x="112"/>
        <item m="1" x="90"/>
        <item m="1" x="114"/>
        <item m="1" x="110"/>
        <item m="1" x="100"/>
        <item m="1" x="109"/>
        <item m="1" x="111"/>
        <item m="1" x="87"/>
        <item m="1" x="77"/>
        <item m="1" x="80"/>
        <item m="1" x="79"/>
        <item m="1" x="81"/>
        <item m="1" x="71"/>
        <item m="1" x="82"/>
        <item m="1" x="68"/>
        <item m="1" x="86"/>
        <item m="1" x="66"/>
        <item m="1" x="88"/>
        <item m="1" x="72"/>
        <item m="1" x="76"/>
        <item m="1" x="74"/>
        <item m="1" x="65"/>
        <item m="1" x="75"/>
        <item m="1" x="85"/>
        <item m="1" x="78"/>
        <item m="1" x="67"/>
        <item m="1" x="73"/>
        <item m="1" x="70"/>
        <item m="1" x="83"/>
        <item m="1" x="84"/>
        <item m="1" x="69"/>
        <item m="1" x="61"/>
        <item m="1" x="39"/>
        <item m="1" x="56"/>
        <item m="1" x="51"/>
        <item m="1" x="64"/>
        <item m="1" x="62"/>
        <item m="1" x="48"/>
        <item m="1" x="49"/>
        <item m="1" x="54"/>
        <item m="1" x="46"/>
        <item m="1" x="57"/>
        <item m="1" x="44"/>
        <item m="1" x="41"/>
        <item m="1" x="59"/>
        <item m="1" x="63"/>
        <item m="1" x="40"/>
        <item m="1" x="60"/>
        <item m="1" x="42"/>
        <item m="1" x="43"/>
        <item m="1" x="38"/>
        <item m="1" x="47"/>
        <item m="1" x="55"/>
        <item m="1" x="58"/>
        <item m="1" x="45"/>
        <item m="1" x="52"/>
        <item m="1" x="53"/>
        <item m="1" x="50"/>
        <item m="1" x="28"/>
        <item m="1" x="31"/>
        <item m="1" x="35"/>
        <item m="1" x="12"/>
        <item m="1" x="15"/>
        <item m="1" x="21"/>
        <item m="1" x="22"/>
        <item m="1" x="23"/>
        <item m="1" x="25"/>
        <item m="1" x="27"/>
        <item m="1" x="33"/>
        <item m="1" x="34"/>
        <item m="1" x="36"/>
        <item m="1" x="17"/>
        <item m="1" x="18"/>
        <item m="1" x="19"/>
        <item m="1" x="26"/>
        <item m="1" x="30"/>
        <item m="1" x="32"/>
        <item m="1" x="14"/>
        <item m="1" x="16"/>
        <item m="1" x="20"/>
        <item m="1" x="29"/>
        <item m="1" x="24"/>
        <item m="1" x="13"/>
        <item m="1" x="37"/>
        <item x="11"/>
        <item x="5"/>
        <item x="9"/>
        <item x="1"/>
        <item x="6"/>
        <item x="10"/>
        <item x="2"/>
        <item x="0"/>
        <item x="3"/>
        <item x="7"/>
        <item x="4"/>
        <item x="8"/>
        <item t="default"/>
      </items>
    </pivotField>
    <pivotField dataField="1" showAll="0"/>
    <pivotField axis="axisRow" showAll="0" sortType="descending">
      <items count="188">
        <item m="1" x="79"/>
        <item x="54"/>
        <item m="1" x="152"/>
        <item x="5"/>
        <item x="48"/>
        <item x="46"/>
        <item m="1" x="82"/>
        <item m="1" x="110"/>
        <item m="1" x="112"/>
        <item m="1" x="78"/>
        <item x="53"/>
        <item m="1" x="67"/>
        <item x="18"/>
        <item m="1" x="121"/>
        <item m="1" x="109"/>
        <item x="35"/>
        <item x="36"/>
        <item m="1" x="167"/>
        <item m="1" x="104"/>
        <item x="30"/>
        <item m="1" x="128"/>
        <item m="1" x="138"/>
        <item m="1" x="72"/>
        <item m="1" x="68"/>
        <item m="1" x="178"/>
        <item m="1" x="143"/>
        <item m="1" x="180"/>
        <item m="1" x="89"/>
        <item m="1" x="135"/>
        <item x="42"/>
        <item m="1" x="157"/>
        <item x="37"/>
        <item m="1" x="62"/>
        <item m="1" x="172"/>
        <item m="1" x="83"/>
        <item x="4"/>
        <item x="6"/>
        <item x="12"/>
        <item x="0"/>
        <item m="1" x="176"/>
        <item m="1" x="184"/>
        <item x="32"/>
        <item x="38"/>
        <item m="1" x="151"/>
        <item x="40"/>
        <item m="1" x="80"/>
        <item m="1" x="179"/>
        <item x="2"/>
        <item x="25"/>
        <item x="1"/>
        <item m="1" x="169"/>
        <item x="31"/>
        <item m="1" x="95"/>
        <item m="1" x="73"/>
        <item m="1" x="130"/>
        <item x="13"/>
        <item m="1" x="183"/>
        <item m="1" x="94"/>
        <item m="1" x="125"/>
        <item x="16"/>
        <item x="59"/>
        <item m="1" x="136"/>
        <item m="1" x="186"/>
        <item x="10"/>
        <item m="1" x="174"/>
        <item m="1" x="87"/>
        <item m="1" x="93"/>
        <item m="1" x="92"/>
        <item m="1" x="90"/>
        <item m="1" x="103"/>
        <item m="1" x="149"/>
        <item m="1" x="127"/>
        <item m="1" x="63"/>
        <item x="41"/>
        <item m="1" x="71"/>
        <item x="57"/>
        <item m="1" x="163"/>
        <item x="60"/>
        <item m="1" x="133"/>
        <item x="23"/>
        <item m="1" x="164"/>
        <item m="1" x="64"/>
        <item x="17"/>
        <item m="1" x="155"/>
        <item m="1" x="122"/>
        <item m="1" x="76"/>
        <item x="24"/>
        <item m="1" x="97"/>
        <item m="1" x="166"/>
        <item x="34"/>
        <item m="1" x="91"/>
        <item x="56"/>
        <item x="29"/>
        <item m="1" x="113"/>
        <item m="1" x="171"/>
        <item m="1" x="159"/>
        <item m="1" x="96"/>
        <item m="1" x="185"/>
        <item m="1" x="102"/>
        <item m="1" x="65"/>
        <item x="55"/>
        <item m="1" x="154"/>
        <item m="1" x="153"/>
        <item x="11"/>
        <item x="3"/>
        <item m="1" x="115"/>
        <item m="1" x="161"/>
        <item m="1" x="85"/>
        <item m="1" x="181"/>
        <item m="1" x="160"/>
        <item x="43"/>
        <item m="1" x="88"/>
        <item m="1" x="77"/>
        <item m="1" x="170"/>
        <item x="39"/>
        <item m="1" x="140"/>
        <item m="1" x="182"/>
        <item m="1" x="141"/>
        <item m="1" x="131"/>
        <item x="28"/>
        <item m="1" x="116"/>
        <item x="8"/>
        <item m="1" x="132"/>
        <item m="1" x="84"/>
        <item x="47"/>
        <item m="1" x="168"/>
        <item m="1" x="148"/>
        <item m="1" x="147"/>
        <item m="1" x="129"/>
        <item m="1" x="177"/>
        <item x="44"/>
        <item x="21"/>
        <item m="1" x="100"/>
        <item m="1" x="99"/>
        <item m="1" x="139"/>
        <item m="1" x="137"/>
        <item m="1" x="117"/>
        <item x="27"/>
        <item m="1" x="162"/>
        <item x="45"/>
        <item x="7"/>
        <item m="1" x="156"/>
        <item m="1" x="175"/>
        <item m="1" x="111"/>
        <item m="1" x="66"/>
        <item m="1" x="106"/>
        <item m="1" x="165"/>
        <item m="1" x="173"/>
        <item m="1" x="142"/>
        <item m="1" x="124"/>
        <item m="1" x="150"/>
        <item m="1" x="158"/>
        <item x="19"/>
        <item m="1" x="81"/>
        <item x="49"/>
        <item x="26"/>
        <item m="1" x="118"/>
        <item m="1" x="69"/>
        <item x="20"/>
        <item x="22"/>
        <item m="1" x="86"/>
        <item x="51"/>
        <item m="1" x="70"/>
        <item m="1" x="145"/>
        <item m="1" x="107"/>
        <item m="1" x="108"/>
        <item m="1" x="134"/>
        <item x="9"/>
        <item m="1" x="61"/>
        <item x="14"/>
        <item m="1" x="144"/>
        <item m="1" x="146"/>
        <item x="15"/>
        <item x="52"/>
        <item m="1" x="126"/>
        <item x="33"/>
        <item m="1" x="74"/>
        <item m="1" x="114"/>
        <item x="50"/>
        <item m="1" x="120"/>
        <item m="1" x="75"/>
        <item x="58"/>
        <item m="1" x="119"/>
        <item m="1" x="123"/>
        <item m="1" x="105"/>
        <item m="1" x="101"/>
        <item m="1" x="9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7">
        <item x="0"/>
        <item m="1" x="5"/>
        <item x="3"/>
        <item x="2"/>
        <item x="1"/>
        <item x="4"/>
        <item t="default"/>
      </items>
    </pivotField>
    <pivotField axis="axisRow" showAll="0">
      <items count="4">
        <item x="0"/>
        <item x="1"/>
        <item h="1" m="1" x="2"/>
        <item t="default"/>
      </items>
    </pivotField>
    <pivotField showAll="0"/>
  </pivotFields>
  <rowFields count="2">
    <field x="13"/>
    <field x="15"/>
  </rowFields>
  <rowItems count="150">
    <i>
      <x v="172"/>
    </i>
    <i r="1">
      <x/>
    </i>
    <i r="1">
      <x v="1"/>
    </i>
    <i>
      <x v="38"/>
    </i>
    <i r="1">
      <x/>
    </i>
    <i r="1">
      <x v="1"/>
    </i>
    <i>
      <x v="47"/>
    </i>
    <i r="1">
      <x/>
    </i>
    <i r="1">
      <x v="1"/>
    </i>
    <i>
      <x v="49"/>
    </i>
    <i r="1">
      <x/>
    </i>
    <i r="1">
      <x v="1"/>
    </i>
    <i>
      <x v="3"/>
    </i>
    <i r="1">
      <x/>
    </i>
    <i r="1">
      <x v="1"/>
    </i>
    <i>
      <x v="121"/>
    </i>
    <i r="1">
      <x/>
    </i>
    <i r="1">
      <x v="1"/>
    </i>
    <i>
      <x v="36"/>
    </i>
    <i r="1">
      <x/>
    </i>
    <i r="1">
      <x v="1"/>
    </i>
    <i>
      <x v="131"/>
    </i>
    <i r="1">
      <x/>
    </i>
    <i r="1">
      <x v="1"/>
    </i>
    <i>
      <x v="51"/>
    </i>
    <i r="1">
      <x v="1"/>
    </i>
    <i>
      <x v="15"/>
    </i>
    <i r="1">
      <x/>
    </i>
    <i r="1">
      <x v="1"/>
    </i>
    <i>
      <x v="63"/>
    </i>
    <i r="1">
      <x/>
    </i>
    <i r="1">
      <x v="1"/>
    </i>
    <i>
      <x v="158"/>
    </i>
    <i r="1">
      <x/>
    </i>
    <i r="1">
      <x v="1"/>
    </i>
    <i>
      <x v="37"/>
    </i>
    <i r="1">
      <x/>
    </i>
    <i r="1">
      <x v="1"/>
    </i>
    <i>
      <x v="16"/>
    </i>
    <i r="1">
      <x v="1"/>
    </i>
    <i>
      <x v="79"/>
    </i>
    <i r="1">
      <x/>
    </i>
    <i r="1">
      <x v="1"/>
    </i>
    <i>
      <x v="59"/>
    </i>
    <i r="1">
      <x/>
    </i>
    <i r="1">
      <x v="1"/>
    </i>
    <i>
      <x v="175"/>
    </i>
    <i r="1">
      <x v="1"/>
    </i>
    <i>
      <x v="114"/>
    </i>
    <i r="1">
      <x v="1"/>
    </i>
    <i>
      <x v="154"/>
    </i>
    <i r="1">
      <x/>
    </i>
    <i r="1">
      <x v="1"/>
    </i>
    <i>
      <x v="159"/>
    </i>
    <i r="1">
      <x/>
    </i>
    <i r="1">
      <x v="1"/>
    </i>
    <i>
      <x v="44"/>
    </i>
    <i r="1">
      <x v="1"/>
    </i>
    <i>
      <x v="19"/>
    </i>
    <i r="1">
      <x/>
    </i>
    <i r="1">
      <x v="1"/>
    </i>
    <i>
      <x v="173"/>
    </i>
    <i r="1">
      <x/>
    </i>
    <i r="1">
      <x v="1"/>
    </i>
    <i>
      <x v="41"/>
    </i>
    <i r="1">
      <x v="1"/>
    </i>
    <i>
      <x v="29"/>
    </i>
    <i r="1">
      <x v="1"/>
    </i>
    <i>
      <x v="103"/>
    </i>
    <i r="1">
      <x/>
    </i>
    <i r="1">
      <x v="1"/>
    </i>
    <i>
      <x v="92"/>
    </i>
    <i r="1">
      <x/>
    </i>
    <i r="1">
      <x v="1"/>
    </i>
    <i>
      <x v="181"/>
    </i>
    <i r="1">
      <x v="1"/>
    </i>
    <i>
      <x v="110"/>
    </i>
    <i r="1">
      <x v="1"/>
    </i>
    <i>
      <x v="169"/>
    </i>
    <i r="1">
      <x/>
    </i>
    <i r="1">
      <x v="1"/>
    </i>
    <i>
      <x v="5"/>
    </i>
    <i r="1">
      <x/>
    </i>
    <i r="1">
      <x v="1"/>
    </i>
    <i>
      <x v="140"/>
    </i>
    <i r="1">
      <x/>
    </i>
    <i>
      <x v="48"/>
    </i>
    <i r="1">
      <x/>
    </i>
    <i r="1">
      <x v="1"/>
    </i>
    <i>
      <x v="155"/>
    </i>
    <i r="1">
      <x/>
    </i>
    <i r="1">
      <x v="1"/>
    </i>
    <i>
      <x v="35"/>
    </i>
    <i r="1">
      <x/>
    </i>
    <i>
      <x v="100"/>
    </i>
    <i r="1">
      <x/>
    </i>
    <i r="1">
      <x v="1"/>
    </i>
    <i>
      <x v="130"/>
    </i>
    <i r="1">
      <x v="1"/>
    </i>
    <i>
      <x v="31"/>
    </i>
    <i r="1">
      <x v="1"/>
    </i>
    <i>
      <x v="178"/>
    </i>
    <i r="1">
      <x/>
    </i>
    <i r="1">
      <x v="1"/>
    </i>
    <i>
      <x v="104"/>
    </i>
    <i r="1">
      <x/>
    </i>
    <i>
      <x v="137"/>
    </i>
    <i r="1">
      <x/>
    </i>
    <i>
      <x v="119"/>
    </i>
    <i r="1">
      <x/>
    </i>
    <i r="1">
      <x v="1"/>
    </i>
    <i>
      <x v="89"/>
    </i>
    <i r="1">
      <x v="1"/>
    </i>
    <i>
      <x v="82"/>
    </i>
    <i r="1">
      <x/>
    </i>
    <i>
      <x v="124"/>
    </i>
    <i r="1">
      <x v="1"/>
    </i>
    <i>
      <x v="73"/>
    </i>
    <i r="1">
      <x v="1"/>
    </i>
    <i>
      <x v="161"/>
    </i>
    <i r="1">
      <x v="1"/>
    </i>
    <i>
      <x v="10"/>
    </i>
    <i r="1">
      <x v="1"/>
    </i>
    <i>
      <x v="77"/>
    </i>
    <i r="1">
      <x/>
    </i>
    <i>
      <x v="139"/>
    </i>
    <i r="1">
      <x v="1"/>
    </i>
    <i>
      <x v="86"/>
    </i>
    <i r="1">
      <x/>
    </i>
    <i>
      <x v="91"/>
    </i>
    <i r="1">
      <x v="1"/>
    </i>
    <i>
      <x v="167"/>
    </i>
    <i r="1">
      <x/>
    </i>
    <i>
      <x v="152"/>
    </i>
    <i r="1">
      <x/>
    </i>
    <i>
      <x v="75"/>
    </i>
    <i r="1">
      <x v="1"/>
    </i>
    <i>
      <x v="55"/>
    </i>
    <i r="1">
      <x/>
    </i>
    <i>
      <x v="42"/>
    </i>
    <i r="1">
      <x v="1"/>
    </i>
    <i>
      <x v="12"/>
    </i>
    <i r="1">
      <x/>
    </i>
    <i>
      <x v="1"/>
    </i>
    <i r="1">
      <x v="1"/>
    </i>
    <i>
      <x v="60"/>
    </i>
    <i r="1">
      <x v="1"/>
    </i>
    <i>
      <x v="4"/>
    </i>
    <i r="1">
      <x v="1"/>
    </i>
    <i t="grand">
      <x/>
    </i>
  </rowItems>
  <colItems count="1">
    <i/>
  </colItems>
  <pageFields count="2">
    <pageField fld="14" hier="-1"/>
    <pageField fld="11" hier="-1"/>
  </pageFields>
  <dataFields count="1">
    <dataField name="INSERITO" fld="12" subtotal="count" baseField="0" baseItem="0"/>
  </dataFields>
  <formats count="3">
    <format dxfId="80">
      <pivotArea outline="0" collapsedLevelsAreSubtotals="1" fieldPosition="0"/>
    </format>
    <format dxfId="79">
      <pivotArea dataOnly="0" labelOnly="1" outline="0" fieldPosition="0">
        <references count="1">
          <reference field="14" count="0"/>
        </references>
      </pivotArea>
    </format>
    <format dxfId="7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32A8A7-5986-4616-8AB1-BCB0152EA386}" name="PivotTable13" cacheId="8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10:K17" firstHeaderRow="1" firstDataRow="1" firstDataCol="1"/>
  <pivotFields count="17"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dataField="1" showAll="0"/>
    <pivotField showAll="0"/>
    <pivotField showAll="0"/>
    <pivotField axis="axisRow" showAll="0">
      <items count="4">
        <item x="0"/>
        <item x="1"/>
        <item h="1" m="1" x="2"/>
        <item t="default"/>
      </items>
    </pivotField>
    <pivotField showAll="0"/>
  </pivotFields>
  <rowFields count="2">
    <field x="15"/>
    <field x="2"/>
  </rowFields>
  <rowItems count="7">
    <i>
      <x/>
    </i>
    <i r="1">
      <x/>
    </i>
    <i r="1">
      <x v="1"/>
    </i>
    <i>
      <x v="1"/>
    </i>
    <i r="1">
      <x/>
    </i>
    <i r="1">
      <x v="1"/>
    </i>
    <i t="grand">
      <x/>
    </i>
  </rowItems>
  <colItems count="1">
    <i/>
  </colItems>
  <dataFields count="1">
    <dataField name="Count of Valore" fld="12" subtotal="count" baseField="0" baseItem="0"/>
  </dataFields>
  <formats count="2">
    <format dxfId="82">
      <pivotArea outline="0" collapsedLevelsAreSubtotals="1" fieldPosition="0"/>
    </format>
    <format dxfId="8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15C9EB-080D-4F0B-B120-AAB9EB22A5C0}" name="PivotTable12" cacheId="8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:K6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dataField="1" showAll="0"/>
    <pivotField showAll="0"/>
    <pivotField showAll="0"/>
    <pivotField axis="axisRow" showAll="0">
      <items count="4">
        <item x="0"/>
        <item x="1"/>
        <item h="1" m="1" x="2"/>
        <item t="default"/>
      </items>
    </pivotField>
    <pivotField showAll="0"/>
  </pivotFields>
  <rowFields count="1">
    <field x="15"/>
  </rowFields>
  <rowItems count="3">
    <i>
      <x/>
    </i>
    <i>
      <x v="1"/>
    </i>
    <i t="grand">
      <x/>
    </i>
  </rowItems>
  <colItems count="1">
    <i/>
  </colItems>
  <dataFields count="1">
    <dataField name="Count of Valore" fld="12" subtotal="count" baseField="0" baseItem="0"/>
  </dataFields>
  <formats count="2">
    <format dxfId="84">
      <pivotArea outline="0" collapsedLevelsAreSubtotals="1" fieldPosition="0"/>
    </format>
    <format dxfId="8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CD32FF-636C-4CF7-96E0-34687ED71214}" name="PivotTable11" cacheId="8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14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axis="axisRow" dataField="1" showAll="0" sortType="descending">
      <items count="26">
        <item x="0"/>
        <item m="1" x="20"/>
        <item x="1"/>
        <item x="2"/>
        <item m="1" x="21"/>
        <item m="1" x="22"/>
        <item m="1" x="23"/>
        <item x="4"/>
        <item x="5"/>
        <item m="1" x="14"/>
        <item x="6"/>
        <item m="1" x="15"/>
        <item m="1" x="24"/>
        <item m="1" x="13"/>
        <item x="8"/>
        <item m="1" x="19"/>
        <item m="1" x="10"/>
        <item x="7"/>
        <item m="1" x="11"/>
        <item x="9"/>
        <item m="1" x="16"/>
        <item m="1" x="17"/>
        <item m="1" x="18"/>
        <item m="1" x="1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</pivotFields>
  <rowFields count="1">
    <field x="12"/>
  </rowFields>
  <rowItems count="11">
    <i>
      <x v="7"/>
    </i>
    <i>
      <x v="2"/>
    </i>
    <i>
      <x v="14"/>
    </i>
    <i>
      <x v="3"/>
    </i>
    <i>
      <x v="24"/>
    </i>
    <i>
      <x v="10"/>
    </i>
    <i>
      <x v="8"/>
    </i>
    <i>
      <x v="17"/>
    </i>
    <i>
      <x/>
    </i>
    <i>
      <x v="19"/>
    </i>
    <i t="grand">
      <x/>
    </i>
  </rowItems>
  <colItems count="1">
    <i/>
  </colItems>
  <dataFields count="1">
    <dataField name="INSERITO" fld="12" subtotal="count" baseField="0" baseItem="0"/>
  </dataFields>
  <formats count="2">
    <format dxfId="86">
      <pivotArea outline="0" collapsedLevelsAreSubtotals="1" fieldPosition="0"/>
    </format>
    <format dxfId="8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0BA14A-D9F1-4D04-9D66-E72CA85BA804}" name="PivotTable10" cacheId="8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18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dataField="1" showAll="0"/>
    <pivotField showAll="0"/>
    <pivotField axis="axisRow" showAll="0" sortType="descending">
      <items count="7">
        <item x="0"/>
        <item m="1" x="5"/>
        <item x="3"/>
        <item x="2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4">
        <item x="0"/>
        <item x="1"/>
        <item h="1" m="1" x="2"/>
        <item t="default"/>
      </items>
    </pivotField>
    <pivotField showAll="0"/>
  </pivotFields>
  <rowFields count="2">
    <field x="14"/>
    <field x="15"/>
  </rowFields>
  <rowItems count="15">
    <i>
      <x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>
      <x v="5"/>
    </i>
    <i r="1">
      <x v="1"/>
    </i>
    <i t="grand">
      <x/>
    </i>
  </rowItems>
  <colItems count="1">
    <i/>
  </colItems>
  <dataFields count="1">
    <dataField name="INSERITO" fld="12" subtotal="count" baseField="0" baseItem="0"/>
  </dataFields>
  <formats count="2">
    <format dxfId="88">
      <pivotArea outline="0" collapsedLevelsAreSubtotals="1" fieldPosition="0"/>
    </format>
    <format dxfId="8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F3909E-6EAB-4594-AFE1-23A334729847}" name="PivotTable1" cacheId="838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>
  <location ref="A3:C153" firstHeaderRow="0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axis="axisRow" dataField="1" showAll="0">
      <items count="26">
        <item x="0"/>
        <item m="1" x="20"/>
        <item x="1"/>
        <item x="2"/>
        <item m="1" x="22"/>
        <item m="1" x="23"/>
        <item x="4"/>
        <item x="5"/>
        <item x="6"/>
        <item m="1" x="21"/>
        <item m="1" x="14"/>
        <item h="1" m="1" x="15"/>
        <item h="1" m="1" x="24"/>
        <item h="1" m="1" x="13"/>
        <item h="1" x="8"/>
        <item h="1" m="1" x="19"/>
        <item h="1" m="1" x="10"/>
        <item h="1" x="7"/>
        <item h="1" m="1" x="11"/>
        <item h="1" x="9"/>
        <item h="1" m="1" x="16"/>
        <item h="1" m="1" x="17"/>
        <item h="1" m="1" x="18"/>
        <item h="1" m="1" x="12"/>
        <item h="1" x="3"/>
        <item t="default"/>
      </items>
    </pivotField>
    <pivotField axis="axisRow" showAll="0">
      <items count="188">
        <item x="54"/>
        <item x="48"/>
        <item x="46"/>
        <item m="1" x="82"/>
        <item m="1" x="110"/>
        <item m="1" x="112"/>
        <item x="53"/>
        <item m="1" x="67"/>
        <item m="1" x="121"/>
        <item x="36"/>
        <item m="1" x="167"/>
        <item m="1" x="104"/>
        <item m="1" x="128"/>
        <item m="1" x="178"/>
        <item m="1" x="143"/>
        <item m="1" x="89"/>
        <item x="42"/>
        <item x="37"/>
        <item x="4"/>
        <item x="6"/>
        <item x="12"/>
        <item x="32"/>
        <item x="38"/>
        <item x="40"/>
        <item m="1" x="179"/>
        <item x="2"/>
        <item m="1" x="169"/>
        <item m="1" x="95"/>
        <item m="1" x="130"/>
        <item x="16"/>
        <item x="59"/>
        <item m="1" x="136"/>
        <item m="1" x="186"/>
        <item m="1" x="87"/>
        <item m="1" x="92"/>
        <item m="1" x="90"/>
        <item m="1" x="103"/>
        <item m="1" x="127"/>
        <item m="1" x="71"/>
        <item m="1" x="183"/>
        <item x="31"/>
        <item x="18"/>
        <item m="1" x="80"/>
        <item m="1" x="157"/>
        <item x="1"/>
        <item m="1" x="174"/>
        <item m="1" x="79"/>
        <item x="10"/>
        <item x="0"/>
        <item m="1" x="78"/>
        <item x="13"/>
        <item x="35"/>
        <item x="5"/>
        <item x="30"/>
        <item m="1" x="62"/>
        <item m="1" x="176"/>
        <item m="1" x="135"/>
        <item m="1" x="172"/>
        <item m="1" x="149"/>
        <item m="1" x="83"/>
        <item m="1" x="68"/>
        <item m="1" x="73"/>
        <item m="1" x="180"/>
        <item m="1" x="151"/>
        <item m="1" x="63"/>
        <item m="1" x="93"/>
        <item x="41"/>
        <item m="1" x="125"/>
        <item m="1" x="72"/>
        <item m="1" x="138"/>
        <item x="57"/>
        <item m="1" x="163"/>
        <item m="1" x="109"/>
        <item m="1" x="152"/>
        <item x="25"/>
        <item m="1" x="184"/>
        <item m="1" x="94"/>
        <item x="60"/>
        <item m="1" x="133"/>
        <item x="23"/>
        <item m="1" x="164"/>
        <item m="1" x="64"/>
        <item x="17"/>
        <item m="1" x="155"/>
        <item m="1" x="122"/>
        <item m="1" x="76"/>
        <item x="24"/>
        <item m="1" x="97"/>
        <item m="1" x="166"/>
        <item x="34"/>
        <item m="1" x="91"/>
        <item x="56"/>
        <item x="29"/>
        <item m="1" x="113"/>
        <item m="1" x="171"/>
        <item m="1" x="159"/>
        <item m="1" x="96"/>
        <item m="1" x="185"/>
        <item m="1" x="102"/>
        <item m="1" x="65"/>
        <item x="55"/>
        <item m="1" x="154"/>
        <item m="1" x="153"/>
        <item x="11"/>
        <item x="3"/>
        <item m="1" x="115"/>
        <item m="1" x="161"/>
        <item m="1" x="85"/>
        <item m="1" x="181"/>
        <item m="1" x="160"/>
        <item x="43"/>
        <item m="1" x="88"/>
        <item m="1" x="77"/>
        <item m="1" x="170"/>
        <item x="39"/>
        <item m="1" x="140"/>
        <item m="1" x="182"/>
        <item m="1" x="141"/>
        <item m="1" x="131"/>
        <item x="28"/>
        <item m="1" x="116"/>
        <item x="8"/>
        <item m="1" x="132"/>
        <item m="1" x="84"/>
        <item x="47"/>
        <item m="1" x="168"/>
        <item m="1" x="148"/>
        <item m="1" x="147"/>
        <item m="1" x="129"/>
        <item m="1" x="177"/>
        <item x="44"/>
        <item x="21"/>
        <item m="1" x="100"/>
        <item m="1" x="99"/>
        <item m="1" x="139"/>
        <item m="1" x="137"/>
        <item m="1" x="117"/>
        <item x="27"/>
        <item m="1" x="162"/>
        <item x="45"/>
        <item x="7"/>
        <item m="1" x="156"/>
        <item m="1" x="175"/>
        <item m="1" x="111"/>
        <item m="1" x="66"/>
        <item m="1" x="106"/>
        <item m="1" x="165"/>
        <item m="1" x="173"/>
        <item m="1" x="142"/>
        <item m="1" x="124"/>
        <item m="1" x="150"/>
        <item m="1" x="158"/>
        <item x="19"/>
        <item m="1" x="81"/>
        <item x="49"/>
        <item x="26"/>
        <item m="1" x="118"/>
        <item m="1" x="69"/>
        <item x="20"/>
        <item x="22"/>
        <item m="1" x="86"/>
        <item x="51"/>
        <item m="1" x="70"/>
        <item m="1" x="145"/>
        <item m="1" x="107"/>
        <item m="1" x="108"/>
        <item m="1" x="134"/>
        <item x="9"/>
        <item m="1" x="61"/>
        <item x="14"/>
        <item m="1" x="144"/>
        <item m="1" x="146"/>
        <item x="15"/>
        <item x="52"/>
        <item m="1" x="126"/>
        <item x="33"/>
        <item m="1" x="74"/>
        <item m="1" x="114"/>
        <item x="50"/>
        <item m="1" x="120"/>
        <item m="1" x="75"/>
        <item x="58"/>
        <item m="1" x="119"/>
        <item m="1" x="123"/>
        <item m="1" x="105"/>
        <item m="1" x="101"/>
        <item m="1" x="98"/>
        <item t="default"/>
      </items>
    </pivotField>
    <pivotField showAll="0"/>
    <pivotField multipleItemSelectionAllowed="1" showAll="0"/>
    <pivotField dataField="1" showAll="0"/>
  </pivotFields>
  <rowFields count="2">
    <field x="13"/>
    <field x="12"/>
  </rowFields>
  <rowItems count="150">
    <i>
      <x/>
    </i>
    <i r="1">
      <x v="6"/>
    </i>
    <i>
      <x v="1"/>
    </i>
    <i r="1">
      <x v="6"/>
    </i>
    <i>
      <x v="2"/>
    </i>
    <i r="1">
      <x v="6"/>
    </i>
    <i>
      <x v="6"/>
    </i>
    <i r="1">
      <x v="6"/>
    </i>
    <i>
      <x v="9"/>
    </i>
    <i r="1">
      <x v="3"/>
    </i>
    <i r="1">
      <x v="6"/>
    </i>
    <i>
      <x v="16"/>
    </i>
    <i r="1">
      <x v="6"/>
    </i>
    <i>
      <x v="17"/>
    </i>
    <i r="1">
      <x v="3"/>
    </i>
    <i r="1">
      <x v="6"/>
    </i>
    <i>
      <x v="18"/>
    </i>
    <i r="1">
      <x v="2"/>
    </i>
    <i>
      <x v="19"/>
    </i>
    <i r="1">
      <x v="2"/>
    </i>
    <i r="1">
      <x v="6"/>
    </i>
    <i>
      <x v="20"/>
    </i>
    <i r="1">
      <x v="2"/>
    </i>
    <i r="1">
      <x v="6"/>
    </i>
    <i>
      <x v="21"/>
    </i>
    <i r="1">
      <x v="3"/>
    </i>
    <i r="1">
      <x v="6"/>
    </i>
    <i r="1">
      <x v="8"/>
    </i>
    <i>
      <x v="23"/>
    </i>
    <i r="1">
      <x v="6"/>
    </i>
    <i>
      <x v="25"/>
    </i>
    <i r="1">
      <x v="2"/>
    </i>
    <i r="1">
      <x v="6"/>
    </i>
    <i>
      <x v="29"/>
    </i>
    <i r="1">
      <x v="2"/>
    </i>
    <i r="1">
      <x v="6"/>
    </i>
    <i>
      <x v="30"/>
    </i>
    <i r="1">
      <x v="8"/>
    </i>
    <i>
      <x v="40"/>
    </i>
    <i r="1">
      <x v="3"/>
    </i>
    <i r="1">
      <x v="6"/>
    </i>
    <i>
      <x v="41"/>
    </i>
    <i r="1">
      <x v="2"/>
    </i>
    <i>
      <x v="44"/>
    </i>
    <i r="1">
      <x v="2"/>
    </i>
    <i r="1">
      <x v="6"/>
    </i>
    <i>
      <x v="47"/>
    </i>
    <i r="1">
      <x v="2"/>
    </i>
    <i r="1">
      <x v="6"/>
    </i>
    <i>
      <x v="48"/>
    </i>
    <i r="1">
      <x/>
    </i>
    <i r="1">
      <x v="2"/>
    </i>
    <i r="1">
      <x v="3"/>
    </i>
    <i r="1">
      <x v="6"/>
    </i>
    <i>
      <x v="50"/>
    </i>
    <i r="1">
      <x v="2"/>
    </i>
    <i>
      <x v="51"/>
    </i>
    <i r="1">
      <x v="3"/>
    </i>
    <i r="1">
      <x v="6"/>
    </i>
    <i>
      <x v="52"/>
    </i>
    <i r="1">
      <x v="2"/>
    </i>
    <i r="1">
      <x v="6"/>
    </i>
    <i>
      <x v="53"/>
    </i>
    <i r="1">
      <x v="2"/>
    </i>
    <i r="1">
      <x v="6"/>
    </i>
    <i>
      <x v="66"/>
    </i>
    <i r="1">
      <x v="6"/>
    </i>
    <i>
      <x v="70"/>
    </i>
    <i r="1">
      <x v="6"/>
    </i>
    <i>
      <x v="74"/>
    </i>
    <i r="1">
      <x v="2"/>
    </i>
    <i r="1">
      <x v="6"/>
    </i>
    <i>
      <x v="79"/>
    </i>
    <i r="1">
      <x v="2"/>
    </i>
    <i r="1">
      <x v="6"/>
    </i>
    <i>
      <x v="82"/>
    </i>
    <i r="1">
      <x v="2"/>
    </i>
    <i>
      <x v="86"/>
    </i>
    <i r="1">
      <x v="2"/>
    </i>
    <i>
      <x v="89"/>
    </i>
    <i r="1">
      <x v="3"/>
    </i>
    <i r="1">
      <x v="6"/>
    </i>
    <i>
      <x v="91"/>
    </i>
    <i r="1">
      <x v="6"/>
    </i>
    <i>
      <x v="92"/>
    </i>
    <i r="1">
      <x v="2"/>
    </i>
    <i r="1">
      <x v="6"/>
    </i>
    <i>
      <x v="100"/>
    </i>
    <i r="1">
      <x v="6"/>
    </i>
    <i>
      <x v="103"/>
    </i>
    <i r="1">
      <x v="2"/>
    </i>
    <i r="1">
      <x v="6"/>
    </i>
    <i>
      <x v="104"/>
    </i>
    <i r="1">
      <x v="2"/>
    </i>
    <i>
      <x v="110"/>
    </i>
    <i r="1">
      <x v="6"/>
    </i>
    <i>
      <x v="114"/>
    </i>
    <i r="1">
      <x v="6"/>
    </i>
    <i>
      <x v="119"/>
    </i>
    <i r="1">
      <x v="2"/>
    </i>
    <i r="1">
      <x v="6"/>
    </i>
    <i>
      <x v="121"/>
    </i>
    <i r="1">
      <x v="2"/>
    </i>
    <i r="1">
      <x v="6"/>
    </i>
    <i>
      <x v="124"/>
    </i>
    <i r="1">
      <x v="6"/>
    </i>
    <i>
      <x v="130"/>
    </i>
    <i r="1">
      <x v="6"/>
    </i>
    <i>
      <x v="131"/>
    </i>
    <i r="1">
      <x v="2"/>
    </i>
    <i r="1">
      <x v="6"/>
    </i>
    <i>
      <x v="137"/>
    </i>
    <i r="1">
      <x v="2"/>
    </i>
    <i>
      <x v="139"/>
    </i>
    <i r="1">
      <x v="6"/>
    </i>
    <i>
      <x v="140"/>
    </i>
    <i r="1">
      <x v="2"/>
    </i>
    <i>
      <x v="152"/>
    </i>
    <i r="1">
      <x v="2"/>
    </i>
    <i>
      <x v="154"/>
    </i>
    <i r="1">
      <x v="6"/>
    </i>
    <i>
      <x v="155"/>
    </i>
    <i r="1">
      <x v="2"/>
    </i>
    <i>
      <x v="158"/>
    </i>
    <i r="1">
      <x v="2"/>
    </i>
    <i r="1">
      <x v="6"/>
    </i>
    <i>
      <x v="159"/>
    </i>
    <i r="1">
      <x v="2"/>
    </i>
    <i r="1">
      <x v="8"/>
    </i>
    <i>
      <x v="161"/>
    </i>
    <i r="1">
      <x v="6"/>
    </i>
    <i>
      <x v="167"/>
    </i>
    <i r="1">
      <x v="2"/>
    </i>
    <i>
      <x v="169"/>
    </i>
    <i r="1">
      <x v="2"/>
    </i>
    <i r="1">
      <x v="6"/>
    </i>
    <i>
      <x v="172"/>
    </i>
    <i r="1">
      <x v="2"/>
    </i>
    <i r="1">
      <x v="6"/>
    </i>
    <i r="1">
      <x v="7"/>
    </i>
    <i>
      <x v="173"/>
    </i>
    <i r="1">
      <x v="6"/>
    </i>
    <i>
      <x v="175"/>
    </i>
    <i r="1">
      <x v="3"/>
    </i>
    <i r="1">
      <x v="8"/>
    </i>
    <i>
      <x v="178"/>
    </i>
    <i r="1">
      <x v="6"/>
    </i>
    <i>
      <x v="181"/>
    </i>
    <i r="1"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Valore" fld="12" subtotal="count" baseField="0" baseItem="0"/>
    <dataField name="Sum of VASC" fld="16" baseField="0" baseItem="0"/>
  </dataFields>
  <formats count="4">
    <format dxfId="7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7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74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E975150-5550-4261-8634-962F4C1A0FA2}" autoFormatId="16" applyNumberFormats="0" applyBorderFormats="0" applyFontFormats="0" applyPatternFormats="0" applyAlignmentFormats="0" applyWidthHeightFormats="0">
  <queryTableRefresh nextId="18" unboundColumnsRight="4">
    <queryTableFields count="17">
      <queryTableField id="1" name="Cliente" tableColumnId="1"/>
      <queryTableField id="2" name="FiscalCodeOrPiva" tableColumnId="2"/>
      <queryTableField id="3" name="Segmento" tableColumnId="3"/>
      <queryTableField id="4" name="AccountNumber" tableColumnId="4"/>
      <queryTableField id="5" name="Codice Ordine" tableColumnId="5"/>
      <queryTableField id="6" name="Codice Comsy Tecnico Attuale" tableColumnId="6"/>
      <queryTableField id="7" name="Contributo" tableColumnId="7"/>
      <queryTableField id="8" name="Tipo Ordine" tableColumnId="8"/>
      <queryTableField id="9" name="Canone" tableColumnId="9"/>
      <queryTableField id="10" name="Stato dell'ordine CPQ" tableColumnId="10"/>
      <queryTableField id="11" name="Stato dell'Ordine OM" tableColumnId="11"/>
      <queryTableField id="12" name="Data Inserimento Ordine" tableColumnId="12"/>
      <queryTableField id="13" name="Valore" tableColumnId="13"/>
      <queryTableField id="14" dataBound="0" tableColumnId="14"/>
      <queryTableField id="15" dataBound="0" tableColumnId="15"/>
      <queryTableField id="16" dataBound="0" tableColumnId="16"/>
      <queryTableField id="17" dataBound="0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8AE737-BDEF-46C7-BD17-4D5825431994}" name="INSERITO_KIM" displayName="INSERITO_KIM" ref="A1:Q246" tableType="queryTable" totalsRowShown="0">
  <autoFilter ref="A1:Q246" xr:uid="{5F8AE737-BDEF-46C7-BD17-4D5825431994}"/>
  <tableColumns count="17">
    <tableColumn id="1" xr3:uid="{17C3D594-BD74-4509-83F8-EB7CAFC7D70F}" uniqueName="1" name="Cliente" queryTableFieldId="1" dataDxfId="13"/>
    <tableColumn id="2" xr3:uid="{F9CCBE10-3269-4625-AA91-2AEDAD783F69}" uniqueName="2" name="FiscalCodeOrPiva" queryTableFieldId="2" dataDxfId="12"/>
    <tableColumn id="3" xr3:uid="{67D5969F-6494-4A95-8B93-BF20A761AE69}" uniqueName="3" name="Segmento" queryTableFieldId="3" dataDxfId="11"/>
    <tableColumn id="4" xr3:uid="{EC1421D8-FD6F-4A80-B268-24B1BBDDB7F7}" uniqueName="4" name="AccountNumber" queryTableFieldId="4"/>
    <tableColumn id="5" xr3:uid="{F651F2CE-5CB2-4CDF-88D8-15D4A39BF9CE}" uniqueName="5" name="Codice Ordine" queryTableFieldId="5" dataDxfId="10"/>
    <tableColumn id="6" xr3:uid="{6FF4FBE7-10B8-481C-9AFB-CE4AE06903B6}" uniqueName="6" name="Codice Comsy Tecnico Attuale" queryTableFieldId="6" dataDxfId="9"/>
    <tableColumn id="7" xr3:uid="{6452CC3C-8C1E-4211-9327-B2BF103F7DAB}" uniqueName="7" name="Contributo" queryTableFieldId="7"/>
    <tableColumn id="8" xr3:uid="{507D3A88-4363-4D11-91C1-4FE2C29E7C51}" uniqueName="8" name="Tipo Ordine" queryTableFieldId="8" dataDxfId="8"/>
    <tableColumn id="9" xr3:uid="{BED34E84-0E33-4BF4-B97D-7016DC6AB7D6}" uniqueName="9" name="Canone" queryTableFieldId="9"/>
    <tableColumn id="10" xr3:uid="{9FE4E0BA-758E-4BCD-87DE-DD003DE29553}" uniqueName="10" name="Stato dell'ordine CPQ" queryTableFieldId="10" dataDxfId="7"/>
    <tableColumn id="11" xr3:uid="{A29D12F3-71F1-403D-9B91-15F448198450}" uniqueName="11" name="Stato dell'Ordine OM" queryTableFieldId="11" dataDxfId="6"/>
    <tableColumn id="12" xr3:uid="{D60BED90-224A-4929-BDDA-8DA130A9CEAB}" uniqueName="12" name="Data Inserimento Ordine" queryTableFieldId="12" dataDxfId="5"/>
    <tableColumn id="13" xr3:uid="{54809DAE-9186-4281-8176-7EEE239EB69B}" uniqueName="13" name="Valore" queryTableFieldId="13" dataDxfId="4"/>
    <tableColumn id="14" xr3:uid="{F5E26DF3-3554-4CF2-8BD8-5A411B770E77}" uniqueName="14" name="POINT" queryTableFieldId="14" dataDxfId="3">
      <calculatedColumnFormula>+INDEX(COMSY!F:F,MATCH(INSERITO_KIM[[#This Row],[Codice Comsy Tecnico Attuale]],COMSY!E:E,0))</calculatedColumnFormula>
    </tableColumn>
    <tableColumn id="15" xr3:uid="{D1B6FBAB-1824-4D11-A902-B0867BE6BD64}" uniqueName="15" name="AM" queryTableFieldId="15" dataDxfId="2">
      <calculatedColumnFormula>+INDEX(COMSY!G:G,MATCH(INSERITO_KIM[[#This Row],[Codice Comsy Tecnico Attuale]],COMSY!E:E,0))</calculatedColumnFormula>
    </tableColumn>
    <tableColumn id="16" xr3:uid="{A25C606B-2C0B-469F-9A0D-5F311C0C5AFA}" uniqueName="16" name="TIPO" queryTableFieldId="16" dataDxfId="1">
      <calculatedColumnFormula>+INDEX(PIANI!B:B,MATCH(INSERITO_KIM[[#This Row],[Valore]],PIANI!A:A,0))</calculatedColumnFormula>
    </tableColumn>
    <tableColumn id="17" xr3:uid="{C6B39A1D-443C-4927-9E79-8ECDCAB0662A}" uniqueName="17" name="VASC" queryTableFieldId="17" dataDxfId="0">
      <calculatedColumnFormula>+INDEX(PIANI!D:D,MATCH(INSERITO_KIM[[#This Row],[Valore]],PIANI!A:A,0))</calculatedColumnFormula>
    </tableColumn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DB2BB-00DC-45D3-9CE5-358B099FF6F1}">
  <sheetPr codeName="Sheet1"/>
  <dimension ref="A1:K281"/>
  <sheetViews>
    <sheetView tabSelected="1" workbookViewId="0">
      <selection activeCell="M2" sqref="M2"/>
    </sheetView>
  </sheetViews>
  <sheetFormatPr defaultRowHeight="14.4" x14ac:dyDescent="0.3"/>
  <cols>
    <col min="1" max="1" width="54.33203125" bestFit="1" customWidth="1"/>
    <col min="2" max="2" width="11" style="9" bestFit="1" customWidth="1"/>
    <col min="4" max="4" width="17.21875" bestFit="1" customWidth="1"/>
    <col min="5" max="5" width="8.88671875" style="9" bestFit="1" customWidth="1"/>
    <col min="6" max="6" width="5" customWidth="1"/>
    <col min="7" max="7" width="27.109375" bestFit="1" customWidth="1"/>
    <col min="8" max="8" width="8.88671875" style="9" bestFit="1" customWidth="1"/>
    <col min="9" max="9" width="5.109375" customWidth="1"/>
    <col min="10" max="10" width="17.21875" bestFit="1" customWidth="1"/>
    <col min="11" max="11" width="14.33203125" style="9" bestFit="1" customWidth="1"/>
  </cols>
  <sheetData>
    <row r="1" spans="1:11" x14ac:dyDescent="0.3">
      <c r="A1" s="8" t="s">
        <v>9</v>
      </c>
      <c r="B1" s="9" t="s">
        <v>739</v>
      </c>
      <c r="E1"/>
    </row>
    <row r="2" spans="1:11" x14ac:dyDescent="0.3">
      <c r="A2" s="8" t="s">
        <v>603</v>
      </c>
      <c r="B2" t="s">
        <v>739</v>
      </c>
    </row>
    <row r="3" spans="1:11" x14ac:dyDescent="0.3">
      <c r="B3"/>
      <c r="D3" s="8" t="s">
        <v>737</v>
      </c>
      <c r="E3" s="9" t="s">
        <v>34</v>
      </c>
      <c r="G3" s="8" t="s">
        <v>737</v>
      </c>
      <c r="H3" s="9" t="s">
        <v>34</v>
      </c>
      <c r="J3" s="8" t="s">
        <v>737</v>
      </c>
      <c r="K3" s="9" t="s">
        <v>519</v>
      </c>
    </row>
    <row r="4" spans="1:11" x14ac:dyDescent="0.3">
      <c r="A4" s="8" t="s">
        <v>737</v>
      </c>
      <c r="B4" s="9" t="s">
        <v>34</v>
      </c>
      <c r="D4" s="1" t="s">
        <v>593</v>
      </c>
      <c r="E4" s="43">
        <v>167</v>
      </c>
      <c r="G4" s="1" t="s">
        <v>30</v>
      </c>
      <c r="H4" s="43">
        <v>137</v>
      </c>
      <c r="J4" s="1" t="s">
        <v>13</v>
      </c>
      <c r="K4" s="43">
        <v>86</v>
      </c>
    </row>
    <row r="5" spans="1:11" x14ac:dyDescent="0.3">
      <c r="A5" s="1" t="s">
        <v>750</v>
      </c>
      <c r="B5" s="43">
        <v>22</v>
      </c>
      <c r="D5" s="2" t="s">
        <v>13</v>
      </c>
      <c r="E5" s="43">
        <v>53</v>
      </c>
      <c r="G5" s="1" t="s">
        <v>19</v>
      </c>
      <c r="H5" s="43">
        <v>66</v>
      </c>
      <c r="J5" s="1" t="s">
        <v>21</v>
      </c>
      <c r="K5" s="43">
        <v>159</v>
      </c>
    </row>
    <row r="6" spans="1:11" x14ac:dyDescent="0.3">
      <c r="A6" s="2" t="s">
        <v>13</v>
      </c>
      <c r="B6" s="43">
        <v>11</v>
      </c>
      <c r="D6" s="2" t="s">
        <v>21</v>
      </c>
      <c r="E6" s="43">
        <v>114</v>
      </c>
      <c r="G6" s="1" t="s">
        <v>629</v>
      </c>
      <c r="H6" s="43">
        <v>17</v>
      </c>
      <c r="J6" s="1" t="s">
        <v>738</v>
      </c>
      <c r="K6" s="43">
        <v>245</v>
      </c>
    </row>
    <row r="7" spans="1:11" x14ac:dyDescent="0.3">
      <c r="A7" s="2" t="s">
        <v>21</v>
      </c>
      <c r="B7" s="43">
        <v>11</v>
      </c>
      <c r="D7" s="1" t="s">
        <v>631</v>
      </c>
      <c r="E7" s="43">
        <v>40</v>
      </c>
      <c r="G7" s="1" t="s">
        <v>22</v>
      </c>
      <c r="H7" s="43">
        <v>11</v>
      </c>
    </row>
    <row r="8" spans="1:11" x14ac:dyDescent="0.3">
      <c r="A8" s="1" t="s">
        <v>588</v>
      </c>
      <c r="B8" s="43">
        <v>19</v>
      </c>
      <c r="D8" s="2" t="s">
        <v>13</v>
      </c>
      <c r="E8" s="43">
        <v>19</v>
      </c>
      <c r="G8" s="1" t="s">
        <v>1038</v>
      </c>
      <c r="H8" s="43">
        <v>4</v>
      </c>
    </row>
    <row r="9" spans="1:11" x14ac:dyDescent="0.3">
      <c r="A9" s="2" t="s">
        <v>13</v>
      </c>
      <c r="B9" s="43">
        <v>5</v>
      </c>
      <c r="D9" s="2" t="s">
        <v>21</v>
      </c>
      <c r="E9" s="43">
        <v>21</v>
      </c>
      <c r="G9" s="1" t="s">
        <v>33</v>
      </c>
      <c r="H9" s="43">
        <v>4</v>
      </c>
    </row>
    <row r="10" spans="1:11" x14ac:dyDescent="0.3">
      <c r="A10" s="2" t="s">
        <v>21</v>
      </c>
      <c r="B10" s="43">
        <v>14</v>
      </c>
      <c r="D10" s="1" t="s">
        <v>594</v>
      </c>
      <c r="E10" s="43">
        <v>29</v>
      </c>
      <c r="G10" s="1" t="s">
        <v>31</v>
      </c>
      <c r="H10" s="43">
        <v>3</v>
      </c>
      <c r="J10" s="8" t="s">
        <v>737</v>
      </c>
      <c r="K10" s="9" t="s">
        <v>519</v>
      </c>
    </row>
    <row r="11" spans="1:11" x14ac:dyDescent="0.3">
      <c r="A11" s="1" t="s">
        <v>136</v>
      </c>
      <c r="B11" s="43">
        <v>15</v>
      </c>
      <c r="D11" s="2" t="s">
        <v>13</v>
      </c>
      <c r="E11" s="43">
        <v>11</v>
      </c>
      <c r="G11" s="1" t="s">
        <v>630</v>
      </c>
      <c r="H11" s="43">
        <v>1</v>
      </c>
      <c r="J11" s="1" t="s">
        <v>13</v>
      </c>
      <c r="K11" s="43">
        <v>86</v>
      </c>
    </row>
    <row r="12" spans="1:11" x14ac:dyDescent="0.3">
      <c r="A12" s="2" t="s">
        <v>13</v>
      </c>
      <c r="B12" s="43">
        <v>5</v>
      </c>
      <c r="D12" s="2" t="s">
        <v>21</v>
      </c>
      <c r="E12" s="43">
        <v>18</v>
      </c>
      <c r="G12" s="1" t="s">
        <v>15</v>
      </c>
      <c r="H12" s="43">
        <v>1</v>
      </c>
      <c r="J12" s="2" t="s">
        <v>16</v>
      </c>
      <c r="K12" s="43">
        <v>84</v>
      </c>
    </row>
    <row r="13" spans="1:11" x14ac:dyDescent="0.3">
      <c r="A13" s="2" t="s">
        <v>21</v>
      </c>
      <c r="B13" s="43">
        <v>10</v>
      </c>
      <c r="D13" s="1" t="s">
        <v>599</v>
      </c>
      <c r="E13" s="43">
        <v>6</v>
      </c>
      <c r="G13" s="1" t="s">
        <v>1252</v>
      </c>
      <c r="H13" s="43">
        <v>1</v>
      </c>
      <c r="J13" s="2" t="s">
        <v>12</v>
      </c>
      <c r="K13" s="43">
        <v>2</v>
      </c>
    </row>
    <row r="14" spans="1:11" x14ac:dyDescent="0.3">
      <c r="A14" s="1" t="s">
        <v>590</v>
      </c>
      <c r="B14" s="43">
        <v>14</v>
      </c>
      <c r="D14" s="2" t="s">
        <v>13</v>
      </c>
      <c r="E14" s="43">
        <v>3</v>
      </c>
      <c r="G14" s="1" t="s">
        <v>738</v>
      </c>
      <c r="H14" s="43">
        <v>245</v>
      </c>
      <c r="J14" s="1" t="s">
        <v>21</v>
      </c>
      <c r="K14" s="43">
        <v>159</v>
      </c>
    </row>
    <row r="15" spans="1:11" x14ac:dyDescent="0.3">
      <c r="A15" s="2" t="s">
        <v>13</v>
      </c>
      <c r="B15" s="43">
        <v>8</v>
      </c>
      <c r="D15" s="2" t="s">
        <v>21</v>
      </c>
      <c r="E15" s="43">
        <v>3</v>
      </c>
      <c r="H15"/>
      <c r="J15" s="2" t="s">
        <v>16</v>
      </c>
      <c r="K15" s="43">
        <v>156</v>
      </c>
    </row>
    <row r="16" spans="1:11" x14ac:dyDescent="0.3">
      <c r="A16" s="2" t="s">
        <v>21</v>
      </c>
      <c r="B16" s="43">
        <v>6</v>
      </c>
      <c r="D16" s="1" t="s">
        <v>118</v>
      </c>
      <c r="E16" s="43">
        <v>3</v>
      </c>
      <c r="H16"/>
      <c r="J16" s="2" t="s">
        <v>12</v>
      </c>
      <c r="K16" s="43">
        <v>3</v>
      </c>
    </row>
    <row r="17" spans="1:11" x14ac:dyDescent="0.3">
      <c r="A17" s="1" t="s">
        <v>551</v>
      </c>
      <c r="B17" s="43">
        <v>12</v>
      </c>
      <c r="D17" s="2" t="s">
        <v>21</v>
      </c>
      <c r="E17" s="43">
        <v>3</v>
      </c>
      <c r="H17"/>
      <c r="J17" s="1" t="s">
        <v>738</v>
      </c>
      <c r="K17" s="43">
        <v>245</v>
      </c>
    </row>
    <row r="18" spans="1:11" x14ac:dyDescent="0.3">
      <c r="A18" s="2" t="s">
        <v>13</v>
      </c>
      <c r="B18" s="43">
        <v>4</v>
      </c>
      <c r="D18" s="1" t="s">
        <v>738</v>
      </c>
      <c r="E18" s="43">
        <v>245</v>
      </c>
      <c r="H18"/>
    </row>
    <row r="19" spans="1:11" x14ac:dyDescent="0.3">
      <c r="A19" s="2" t="s">
        <v>21</v>
      </c>
      <c r="B19" s="43">
        <v>8</v>
      </c>
      <c r="E19"/>
    </row>
    <row r="20" spans="1:11" x14ac:dyDescent="0.3">
      <c r="A20" s="1" t="s">
        <v>632</v>
      </c>
      <c r="B20" s="43">
        <v>12</v>
      </c>
      <c r="E20"/>
    </row>
    <row r="21" spans="1:11" x14ac:dyDescent="0.3">
      <c r="A21" s="2" t="s">
        <v>13</v>
      </c>
      <c r="B21" s="43">
        <v>6</v>
      </c>
      <c r="E21"/>
    </row>
    <row r="22" spans="1:11" x14ac:dyDescent="0.3">
      <c r="A22" s="2" t="s">
        <v>21</v>
      </c>
      <c r="B22" s="43">
        <v>6</v>
      </c>
      <c r="E22"/>
    </row>
    <row r="23" spans="1:11" x14ac:dyDescent="0.3">
      <c r="A23" s="1" t="s">
        <v>539</v>
      </c>
      <c r="B23" s="43">
        <v>11</v>
      </c>
      <c r="E23"/>
    </row>
    <row r="24" spans="1:11" x14ac:dyDescent="0.3">
      <c r="A24" s="2" t="s">
        <v>13</v>
      </c>
      <c r="B24" s="43">
        <v>3</v>
      </c>
      <c r="E24"/>
    </row>
    <row r="25" spans="1:11" x14ac:dyDescent="0.3">
      <c r="A25" s="2" t="s">
        <v>21</v>
      </c>
      <c r="B25" s="43">
        <v>8</v>
      </c>
    </row>
    <row r="26" spans="1:11" x14ac:dyDescent="0.3">
      <c r="A26" s="1" t="s">
        <v>663</v>
      </c>
      <c r="B26" s="43">
        <v>9</v>
      </c>
    </row>
    <row r="27" spans="1:11" x14ac:dyDescent="0.3">
      <c r="A27" s="2" t="s">
        <v>13</v>
      </c>
      <c r="B27" s="43">
        <v>3</v>
      </c>
    </row>
    <row r="28" spans="1:11" x14ac:dyDescent="0.3">
      <c r="A28" s="2" t="s">
        <v>21</v>
      </c>
      <c r="B28" s="43">
        <v>6</v>
      </c>
    </row>
    <row r="29" spans="1:11" x14ac:dyDescent="0.3">
      <c r="A29" s="1" t="s">
        <v>559</v>
      </c>
      <c r="B29" s="43">
        <v>9</v>
      </c>
    </row>
    <row r="30" spans="1:11" x14ac:dyDescent="0.3">
      <c r="A30" s="2" t="s">
        <v>21</v>
      </c>
      <c r="B30" s="43">
        <v>9</v>
      </c>
    </row>
    <row r="31" spans="1:11" x14ac:dyDescent="0.3">
      <c r="A31" s="1" t="s">
        <v>583</v>
      </c>
      <c r="B31" s="43">
        <v>8</v>
      </c>
    </row>
    <row r="32" spans="1:11" x14ac:dyDescent="0.3">
      <c r="A32" s="2" t="s">
        <v>13</v>
      </c>
      <c r="B32" s="43">
        <v>3</v>
      </c>
    </row>
    <row r="33" spans="1:2" x14ac:dyDescent="0.3">
      <c r="A33" s="2" t="s">
        <v>21</v>
      </c>
      <c r="B33" s="43">
        <v>5</v>
      </c>
    </row>
    <row r="34" spans="1:2" x14ac:dyDescent="0.3">
      <c r="A34" s="1" t="s">
        <v>575</v>
      </c>
      <c r="B34" s="43">
        <v>6</v>
      </c>
    </row>
    <row r="35" spans="1:2" x14ac:dyDescent="0.3">
      <c r="A35" s="2" t="s">
        <v>13</v>
      </c>
      <c r="B35" s="43">
        <v>2</v>
      </c>
    </row>
    <row r="36" spans="1:2" x14ac:dyDescent="0.3">
      <c r="A36" s="2" t="s">
        <v>21</v>
      </c>
      <c r="B36" s="43">
        <v>4</v>
      </c>
    </row>
    <row r="37" spans="1:2" x14ac:dyDescent="0.3">
      <c r="A37" s="1" t="s">
        <v>721</v>
      </c>
      <c r="B37" s="43">
        <v>5</v>
      </c>
    </row>
    <row r="38" spans="1:2" x14ac:dyDescent="0.3">
      <c r="A38" s="2" t="s">
        <v>13</v>
      </c>
      <c r="B38" s="43">
        <v>2</v>
      </c>
    </row>
    <row r="39" spans="1:2" x14ac:dyDescent="0.3">
      <c r="A39" s="2" t="s">
        <v>21</v>
      </c>
      <c r="B39" s="43">
        <v>3</v>
      </c>
    </row>
    <row r="40" spans="1:2" x14ac:dyDescent="0.3">
      <c r="A40" s="1" t="s">
        <v>400</v>
      </c>
      <c r="B40" s="43">
        <v>5</v>
      </c>
    </row>
    <row r="41" spans="1:2" x14ac:dyDescent="0.3">
      <c r="A41" s="2" t="s">
        <v>13</v>
      </c>
      <c r="B41" s="43">
        <v>2</v>
      </c>
    </row>
    <row r="42" spans="1:2" x14ac:dyDescent="0.3">
      <c r="A42" s="2" t="s">
        <v>21</v>
      </c>
      <c r="B42" s="43">
        <v>3</v>
      </c>
    </row>
    <row r="43" spans="1:2" x14ac:dyDescent="0.3">
      <c r="A43" s="1" t="s">
        <v>288</v>
      </c>
      <c r="B43" s="43">
        <v>5</v>
      </c>
    </row>
    <row r="44" spans="1:2" x14ac:dyDescent="0.3">
      <c r="A44" s="2" t="s">
        <v>21</v>
      </c>
      <c r="B44" s="43">
        <v>5</v>
      </c>
    </row>
    <row r="45" spans="1:2" x14ac:dyDescent="0.3">
      <c r="A45" s="1" t="s">
        <v>209</v>
      </c>
      <c r="B45" s="43">
        <v>5</v>
      </c>
    </row>
    <row r="46" spans="1:2" x14ac:dyDescent="0.3">
      <c r="A46" s="2" t="s">
        <v>13</v>
      </c>
      <c r="B46" s="43">
        <v>1</v>
      </c>
    </row>
    <row r="47" spans="1:2" x14ac:dyDescent="0.3">
      <c r="A47" s="2" t="s">
        <v>21</v>
      </c>
      <c r="B47" s="43">
        <v>4</v>
      </c>
    </row>
    <row r="48" spans="1:2" x14ac:dyDescent="0.3">
      <c r="A48" s="1" t="s">
        <v>152</v>
      </c>
      <c r="B48" s="43">
        <v>4</v>
      </c>
    </row>
    <row r="49" spans="1:2" x14ac:dyDescent="0.3">
      <c r="A49" s="2" t="s">
        <v>13</v>
      </c>
      <c r="B49" s="43">
        <v>2</v>
      </c>
    </row>
    <row r="50" spans="1:2" x14ac:dyDescent="0.3">
      <c r="A50" s="2" t="s">
        <v>21</v>
      </c>
      <c r="B50" s="43">
        <v>2</v>
      </c>
    </row>
    <row r="51" spans="1:2" x14ac:dyDescent="0.3">
      <c r="A51" s="1" t="s">
        <v>776</v>
      </c>
      <c r="B51" s="43">
        <v>4</v>
      </c>
    </row>
    <row r="52" spans="1:2" x14ac:dyDescent="0.3">
      <c r="A52" s="2" t="s">
        <v>21</v>
      </c>
      <c r="B52" s="43">
        <v>4</v>
      </c>
    </row>
    <row r="53" spans="1:2" x14ac:dyDescent="0.3">
      <c r="A53" s="1" t="s">
        <v>622</v>
      </c>
      <c r="B53" s="43">
        <v>4</v>
      </c>
    </row>
    <row r="54" spans="1:2" x14ac:dyDescent="0.3">
      <c r="A54" s="2" t="s">
        <v>21</v>
      </c>
      <c r="B54" s="43">
        <v>4</v>
      </c>
    </row>
    <row r="55" spans="1:2" x14ac:dyDescent="0.3">
      <c r="A55" s="1" t="s">
        <v>707</v>
      </c>
      <c r="B55" s="43">
        <v>3</v>
      </c>
    </row>
    <row r="56" spans="1:2" x14ac:dyDescent="0.3">
      <c r="A56" s="2" t="s">
        <v>13</v>
      </c>
      <c r="B56" s="43">
        <v>1</v>
      </c>
    </row>
    <row r="57" spans="1:2" x14ac:dyDescent="0.3">
      <c r="A57" s="2" t="s">
        <v>21</v>
      </c>
      <c r="B57" s="43">
        <v>2</v>
      </c>
    </row>
    <row r="58" spans="1:2" x14ac:dyDescent="0.3">
      <c r="A58" s="1" t="s">
        <v>714</v>
      </c>
      <c r="B58" s="43">
        <v>3</v>
      </c>
    </row>
    <row r="59" spans="1:2" x14ac:dyDescent="0.3">
      <c r="A59" s="2" t="s">
        <v>13</v>
      </c>
      <c r="B59" s="43">
        <v>1</v>
      </c>
    </row>
    <row r="60" spans="1:2" x14ac:dyDescent="0.3">
      <c r="A60" s="2" t="s">
        <v>21</v>
      </c>
      <c r="B60" s="43">
        <v>2</v>
      </c>
    </row>
    <row r="61" spans="1:2" x14ac:dyDescent="0.3">
      <c r="A61" s="1" t="s">
        <v>196</v>
      </c>
      <c r="B61" s="43">
        <v>3</v>
      </c>
    </row>
    <row r="62" spans="1:2" x14ac:dyDescent="0.3">
      <c r="A62" s="2" t="s">
        <v>21</v>
      </c>
      <c r="B62" s="43">
        <v>3</v>
      </c>
    </row>
    <row r="63" spans="1:2" x14ac:dyDescent="0.3">
      <c r="A63" s="1" t="s">
        <v>535</v>
      </c>
      <c r="B63" s="43">
        <v>3</v>
      </c>
    </row>
    <row r="64" spans="1:2" x14ac:dyDescent="0.3">
      <c r="A64" s="2" t="s">
        <v>13</v>
      </c>
      <c r="B64" s="43">
        <v>1</v>
      </c>
    </row>
    <row r="65" spans="1:2" x14ac:dyDescent="0.3">
      <c r="A65" s="2" t="s">
        <v>21</v>
      </c>
      <c r="B65" s="43">
        <v>2</v>
      </c>
    </row>
    <row r="66" spans="1:2" x14ac:dyDescent="0.3">
      <c r="A66" s="1" t="s">
        <v>747</v>
      </c>
      <c r="B66" s="43">
        <v>3</v>
      </c>
    </row>
    <row r="67" spans="1:2" x14ac:dyDescent="0.3">
      <c r="A67" s="2" t="s">
        <v>13</v>
      </c>
      <c r="B67" s="43">
        <v>1</v>
      </c>
    </row>
    <row r="68" spans="1:2" x14ac:dyDescent="0.3">
      <c r="A68" s="2" t="s">
        <v>21</v>
      </c>
      <c r="B68" s="43">
        <v>2</v>
      </c>
    </row>
    <row r="69" spans="1:2" x14ac:dyDescent="0.3">
      <c r="A69" s="1" t="s">
        <v>118</v>
      </c>
      <c r="B69" s="43">
        <v>3</v>
      </c>
    </row>
    <row r="70" spans="1:2" x14ac:dyDescent="0.3">
      <c r="A70" s="2" t="s">
        <v>21</v>
      </c>
      <c r="B70" s="43">
        <v>3</v>
      </c>
    </row>
    <row r="71" spans="1:2" x14ac:dyDescent="0.3">
      <c r="A71" s="1" t="s">
        <v>441</v>
      </c>
      <c r="B71" s="43">
        <v>3</v>
      </c>
    </row>
    <row r="72" spans="1:2" x14ac:dyDescent="0.3">
      <c r="A72" s="2" t="s">
        <v>21</v>
      </c>
      <c r="B72" s="43">
        <v>3</v>
      </c>
    </row>
    <row r="73" spans="1:2" x14ac:dyDescent="0.3">
      <c r="A73" s="1" t="s">
        <v>380</v>
      </c>
      <c r="B73" s="43">
        <v>2</v>
      </c>
    </row>
    <row r="74" spans="1:2" x14ac:dyDescent="0.3">
      <c r="A74" s="2" t="s">
        <v>13</v>
      </c>
      <c r="B74" s="43">
        <v>1</v>
      </c>
    </row>
    <row r="75" spans="1:2" x14ac:dyDescent="0.3">
      <c r="A75" s="2" t="s">
        <v>21</v>
      </c>
      <c r="B75" s="43">
        <v>1</v>
      </c>
    </row>
    <row r="76" spans="1:2" x14ac:dyDescent="0.3">
      <c r="A76" s="1" t="s">
        <v>280</v>
      </c>
      <c r="B76" s="43">
        <v>2</v>
      </c>
    </row>
    <row r="77" spans="1:2" x14ac:dyDescent="0.3">
      <c r="A77" s="2" t="s">
        <v>13</v>
      </c>
      <c r="B77" s="43">
        <v>1</v>
      </c>
    </row>
    <row r="78" spans="1:2" x14ac:dyDescent="0.3">
      <c r="A78" s="2" t="s">
        <v>21</v>
      </c>
      <c r="B78" s="43">
        <v>1</v>
      </c>
    </row>
    <row r="79" spans="1:2" x14ac:dyDescent="0.3">
      <c r="A79" s="1" t="s">
        <v>796</v>
      </c>
      <c r="B79" s="43">
        <v>2</v>
      </c>
    </row>
    <row r="80" spans="1:2" x14ac:dyDescent="0.3">
      <c r="A80" s="2" t="s">
        <v>21</v>
      </c>
      <c r="B80" s="43">
        <v>2</v>
      </c>
    </row>
    <row r="81" spans="1:2" x14ac:dyDescent="0.3">
      <c r="A81" s="1" t="s">
        <v>617</v>
      </c>
      <c r="B81" s="43">
        <v>2</v>
      </c>
    </row>
    <row r="82" spans="1:2" x14ac:dyDescent="0.3">
      <c r="A82" s="2" t="s">
        <v>21</v>
      </c>
      <c r="B82" s="43">
        <v>2</v>
      </c>
    </row>
    <row r="83" spans="1:2" x14ac:dyDescent="0.3">
      <c r="A83" s="1" t="s">
        <v>724</v>
      </c>
      <c r="B83" s="43">
        <v>2</v>
      </c>
    </row>
    <row r="84" spans="1:2" x14ac:dyDescent="0.3">
      <c r="A84" s="2" t="s">
        <v>13</v>
      </c>
      <c r="B84" s="43">
        <v>1</v>
      </c>
    </row>
    <row r="85" spans="1:2" x14ac:dyDescent="0.3">
      <c r="A85" s="2" t="s">
        <v>21</v>
      </c>
      <c r="B85" s="43">
        <v>1</v>
      </c>
    </row>
    <row r="86" spans="1:2" x14ac:dyDescent="0.3">
      <c r="A86" s="1" t="s">
        <v>204</v>
      </c>
      <c r="B86" s="43">
        <v>2</v>
      </c>
    </row>
    <row r="87" spans="1:2" x14ac:dyDescent="0.3">
      <c r="A87" s="2" t="s">
        <v>13</v>
      </c>
      <c r="B87" s="43">
        <v>1</v>
      </c>
    </row>
    <row r="88" spans="1:2" x14ac:dyDescent="0.3">
      <c r="A88" s="2" t="s">
        <v>21</v>
      </c>
      <c r="B88" s="43">
        <v>1</v>
      </c>
    </row>
    <row r="89" spans="1:2" x14ac:dyDescent="0.3">
      <c r="A89" s="1" t="s">
        <v>635</v>
      </c>
      <c r="B89" s="43">
        <v>2</v>
      </c>
    </row>
    <row r="90" spans="1:2" x14ac:dyDescent="0.3">
      <c r="A90" s="2" t="s">
        <v>13</v>
      </c>
      <c r="B90" s="43">
        <v>2</v>
      </c>
    </row>
    <row r="91" spans="1:2" x14ac:dyDescent="0.3">
      <c r="A91" s="1" t="s">
        <v>392</v>
      </c>
      <c r="B91" s="43">
        <v>2</v>
      </c>
    </row>
    <row r="92" spans="1:2" x14ac:dyDescent="0.3">
      <c r="A92" s="2" t="s">
        <v>13</v>
      </c>
      <c r="B92" s="43">
        <v>1</v>
      </c>
    </row>
    <row r="93" spans="1:2" x14ac:dyDescent="0.3">
      <c r="A93" s="2" t="s">
        <v>21</v>
      </c>
      <c r="B93" s="43">
        <v>1</v>
      </c>
    </row>
    <row r="94" spans="1:2" x14ac:dyDescent="0.3">
      <c r="A94" s="1" t="s">
        <v>704</v>
      </c>
      <c r="B94" s="43">
        <v>2</v>
      </c>
    </row>
    <row r="95" spans="1:2" x14ac:dyDescent="0.3">
      <c r="A95" s="2" t="s">
        <v>13</v>
      </c>
      <c r="B95" s="43">
        <v>1</v>
      </c>
    </row>
    <row r="96" spans="1:2" x14ac:dyDescent="0.3">
      <c r="A96" s="2" t="s">
        <v>21</v>
      </c>
      <c r="B96" s="43">
        <v>1</v>
      </c>
    </row>
    <row r="97" spans="1:2" x14ac:dyDescent="0.3">
      <c r="A97" s="1" t="s">
        <v>350</v>
      </c>
      <c r="B97" s="43">
        <v>2</v>
      </c>
    </row>
    <row r="98" spans="1:2" x14ac:dyDescent="0.3">
      <c r="A98" s="2" t="s">
        <v>13</v>
      </c>
      <c r="B98" s="43">
        <v>2</v>
      </c>
    </row>
    <row r="99" spans="1:2" x14ac:dyDescent="0.3">
      <c r="A99" s="1" t="s">
        <v>533</v>
      </c>
      <c r="B99" s="43">
        <v>2</v>
      </c>
    </row>
    <row r="100" spans="1:2" x14ac:dyDescent="0.3">
      <c r="A100" s="2" t="s">
        <v>13</v>
      </c>
      <c r="B100" s="43">
        <v>1</v>
      </c>
    </row>
    <row r="101" spans="1:2" x14ac:dyDescent="0.3">
      <c r="A101" s="2" t="s">
        <v>21</v>
      </c>
      <c r="B101" s="43">
        <v>1</v>
      </c>
    </row>
    <row r="102" spans="1:2" x14ac:dyDescent="0.3">
      <c r="A102" s="1" t="s">
        <v>662</v>
      </c>
      <c r="B102" s="43">
        <v>2</v>
      </c>
    </row>
    <row r="103" spans="1:2" x14ac:dyDescent="0.3">
      <c r="A103" s="2" t="s">
        <v>21</v>
      </c>
      <c r="B103" s="43">
        <v>2</v>
      </c>
    </row>
    <row r="104" spans="1:2" x14ac:dyDescent="0.3">
      <c r="A104" s="1" t="s">
        <v>410</v>
      </c>
      <c r="B104" s="43">
        <v>2</v>
      </c>
    </row>
    <row r="105" spans="1:2" x14ac:dyDescent="0.3">
      <c r="A105" s="2" t="s">
        <v>21</v>
      </c>
      <c r="B105" s="43">
        <v>2</v>
      </c>
    </row>
    <row r="106" spans="1:2" x14ac:dyDescent="0.3">
      <c r="A106" s="1" t="s">
        <v>770</v>
      </c>
      <c r="B106" s="43">
        <v>2</v>
      </c>
    </row>
    <row r="107" spans="1:2" x14ac:dyDescent="0.3">
      <c r="A107" s="2" t="s">
        <v>13</v>
      </c>
      <c r="B107" s="43">
        <v>1</v>
      </c>
    </row>
    <row r="108" spans="1:2" x14ac:dyDescent="0.3">
      <c r="A108" s="2" t="s">
        <v>21</v>
      </c>
      <c r="B108" s="43">
        <v>1</v>
      </c>
    </row>
    <row r="109" spans="1:2" x14ac:dyDescent="0.3">
      <c r="A109" s="1" t="s">
        <v>121</v>
      </c>
      <c r="B109" s="43">
        <v>2</v>
      </c>
    </row>
    <row r="110" spans="1:2" x14ac:dyDescent="0.3">
      <c r="A110" s="2" t="s">
        <v>13</v>
      </c>
      <c r="B110" s="43">
        <v>2</v>
      </c>
    </row>
    <row r="111" spans="1:2" x14ac:dyDescent="0.3">
      <c r="A111" s="1" t="s">
        <v>366</v>
      </c>
      <c r="B111" s="43">
        <v>2</v>
      </c>
    </row>
    <row r="112" spans="1:2" x14ac:dyDescent="0.3">
      <c r="A112" s="2" t="s">
        <v>13</v>
      </c>
      <c r="B112" s="43">
        <v>2</v>
      </c>
    </row>
    <row r="113" spans="1:2" x14ac:dyDescent="0.3">
      <c r="A113" s="1" t="s">
        <v>560</v>
      </c>
      <c r="B113" s="43">
        <v>2</v>
      </c>
    </row>
    <row r="114" spans="1:2" x14ac:dyDescent="0.3">
      <c r="A114" s="2" t="s">
        <v>13</v>
      </c>
      <c r="B114" s="43">
        <v>1</v>
      </c>
    </row>
    <row r="115" spans="1:2" x14ac:dyDescent="0.3">
      <c r="A115" s="2" t="s">
        <v>21</v>
      </c>
      <c r="B115" s="43">
        <v>1</v>
      </c>
    </row>
    <row r="116" spans="1:2" x14ac:dyDescent="0.3">
      <c r="A116" s="1" t="s">
        <v>449</v>
      </c>
      <c r="B116" s="43">
        <v>2</v>
      </c>
    </row>
    <row r="117" spans="1:2" x14ac:dyDescent="0.3">
      <c r="A117" s="2" t="s">
        <v>21</v>
      </c>
      <c r="B117" s="43">
        <v>2</v>
      </c>
    </row>
    <row r="118" spans="1:2" x14ac:dyDescent="0.3">
      <c r="A118" s="1" t="s">
        <v>434</v>
      </c>
      <c r="B118" s="43">
        <v>2</v>
      </c>
    </row>
    <row r="119" spans="1:2" x14ac:dyDescent="0.3">
      <c r="A119" s="2" t="s">
        <v>13</v>
      </c>
      <c r="B119" s="43">
        <v>2</v>
      </c>
    </row>
    <row r="120" spans="1:2" x14ac:dyDescent="0.3">
      <c r="A120" s="1" t="s">
        <v>592</v>
      </c>
      <c r="B120" s="43">
        <v>1</v>
      </c>
    </row>
    <row r="121" spans="1:2" x14ac:dyDescent="0.3">
      <c r="A121" s="2" t="s">
        <v>21</v>
      </c>
      <c r="B121" s="43">
        <v>1</v>
      </c>
    </row>
    <row r="122" spans="1:2" x14ac:dyDescent="0.3">
      <c r="A122" s="1" t="s">
        <v>577</v>
      </c>
      <c r="B122" s="43">
        <v>1</v>
      </c>
    </row>
    <row r="123" spans="1:2" x14ac:dyDescent="0.3">
      <c r="A123" s="2" t="s">
        <v>21</v>
      </c>
      <c r="B123" s="43">
        <v>1</v>
      </c>
    </row>
    <row r="124" spans="1:2" x14ac:dyDescent="0.3">
      <c r="A124" s="1" t="s">
        <v>274</v>
      </c>
      <c r="B124" s="43">
        <v>1</v>
      </c>
    </row>
    <row r="125" spans="1:2" x14ac:dyDescent="0.3">
      <c r="A125" s="2" t="s">
        <v>21</v>
      </c>
      <c r="B125" s="43">
        <v>1</v>
      </c>
    </row>
    <row r="126" spans="1:2" x14ac:dyDescent="0.3">
      <c r="A126" s="1" t="s">
        <v>175</v>
      </c>
      <c r="B126" s="43">
        <v>1</v>
      </c>
    </row>
    <row r="127" spans="1:2" x14ac:dyDescent="0.3">
      <c r="A127" s="2" t="s">
        <v>21</v>
      </c>
      <c r="B127" s="43">
        <v>1</v>
      </c>
    </row>
    <row r="128" spans="1:2" x14ac:dyDescent="0.3">
      <c r="A128" s="1" t="s">
        <v>155</v>
      </c>
      <c r="B128" s="43">
        <v>1</v>
      </c>
    </row>
    <row r="129" spans="1:2" x14ac:dyDescent="0.3">
      <c r="A129" s="2" t="s">
        <v>13</v>
      </c>
      <c r="B129" s="43">
        <v>1</v>
      </c>
    </row>
    <row r="130" spans="1:2" x14ac:dyDescent="0.3">
      <c r="A130" s="1" t="s">
        <v>666</v>
      </c>
      <c r="B130" s="43">
        <v>1</v>
      </c>
    </row>
    <row r="131" spans="1:2" x14ac:dyDescent="0.3">
      <c r="A131" s="2" t="s">
        <v>21</v>
      </c>
      <c r="B131" s="43">
        <v>1</v>
      </c>
    </row>
    <row r="132" spans="1:2" x14ac:dyDescent="0.3">
      <c r="A132" s="1" t="s">
        <v>470</v>
      </c>
      <c r="B132" s="43">
        <v>1</v>
      </c>
    </row>
    <row r="133" spans="1:2" x14ac:dyDescent="0.3">
      <c r="A133" s="2" t="s">
        <v>13</v>
      </c>
      <c r="B133" s="43">
        <v>1</v>
      </c>
    </row>
    <row r="134" spans="1:2" x14ac:dyDescent="0.3">
      <c r="A134" s="1" t="s">
        <v>597</v>
      </c>
      <c r="B134" s="43">
        <v>1</v>
      </c>
    </row>
    <row r="135" spans="1:2" x14ac:dyDescent="0.3">
      <c r="A135" s="2" t="s">
        <v>21</v>
      </c>
      <c r="B135" s="43">
        <v>1</v>
      </c>
    </row>
    <row r="136" spans="1:2" x14ac:dyDescent="0.3">
      <c r="A136" s="1" t="s">
        <v>743</v>
      </c>
      <c r="B136" s="43">
        <v>1</v>
      </c>
    </row>
    <row r="137" spans="1:2" x14ac:dyDescent="0.3">
      <c r="A137" s="2" t="s">
        <v>13</v>
      </c>
      <c r="B137" s="43">
        <v>1</v>
      </c>
    </row>
    <row r="138" spans="1:2" x14ac:dyDescent="0.3">
      <c r="A138" s="1" t="s">
        <v>612</v>
      </c>
      <c r="B138" s="43">
        <v>1</v>
      </c>
    </row>
    <row r="139" spans="1:2" x14ac:dyDescent="0.3">
      <c r="A139" s="2" t="s">
        <v>13</v>
      </c>
      <c r="B139" s="43">
        <v>1</v>
      </c>
    </row>
    <row r="140" spans="1:2" x14ac:dyDescent="0.3">
      <c r="A140" s="1" t="s">
        <v>335</v>
      </c>
      <c r="B140" s="43">
        <v>1</v>
      </c>
    </row>
    <row r="141" spans="1:2" x14ac:dyDescent="0.3">
      <c r="A141" s="2" t="s">
        <v>21</v>
      </c>
      <c r="B141" s="43">
        <v>1</v>
      </c>
    </row>
    <row r="142" spans="1:2" x14ac:dyDescent="0.3">
      <c r="A142" s="1" t="s">
        <v>542</v>
      </c>
      <c r="B142" s="43">
        <v>1</v>
      </c>
    </row>
    <row r="143" spans="1:2" x14ac:dyDescent="0.3">
      <c r="A143" s="2" t="s">
        <v>13</v>
      </c>
      <c r="B143" s="43">
        <v>1</v>
      </c>
    </row>
    <row r="144" spans="1:2" x14ac:dyDescent="0.3">
      <c r="A144" s="1" t="s">
        <v>569</v>
      </c>
      <c r="B144" s="43">
        <v>1</v>
      </c>
    </row>
    <row r="145" spans="1:2" x14ac:dyDescent="0.3">
      <c r="A145" s="2" t="s">
        <v>21</v>
      </c>
      <c r="B145" s="43">
        <v>1</v>
      </c>
    </row>
    <row r="146" spans="1:2" x14ac:dyDescent="0.3">
      <c r="A146" s="1" t="s">
        <v>527</v>
      </c>
      <c r="B146" s="43">
        <v>1</v>
      </c>
    </row>
    <row r="147" spans="1:2" x14ac:dyDescent="0.3">
      <c r="A147" s="2" t="s">
        <v>13</v>
      </c>
      <c r="B147" s="43">
        <v>1</v>
      </c>
    </row>
    <row r="148" spans="1:2" x14ac:dyDescent="0.3">
      <c r="A148" s="1" t="s">
        <v>140</v>
      </c>
      <c r="B148" s="43">
        <v>1</v>
      </c>
    </row>
    <row r="149" spans="1:2" x14ac:dyDescent="0.3">
      <c r="A149" s="2" t="s">
        <v>21</v>
      </c>
      <c r="B149" s="43">
        <v>1</v>
      </c>
    </row>
    <row r="150" spans="1:2" x14ac:dyDescent="0.3">
      <c r="A150" s="1" t="s">
        <v>496</v>
      </c>
      <c r="B150" s="43">
        <v>1</v>
      </c>
    </row>
    <row r="151" spans="1:2" x14ac:dyDescent="0.3">
      <c r="A151" s="2" t="s">
        <v>21</v>
      </c>
      <c r="B151" s="43">
        <v>1</v>
      </c>
    </row>
    <row r="152" spans="1:2" x14ac:dyDescent="0.3">
      <c r="A152" s="1" t="s">
        <v>132</v>
      </c>
      <c r="B152" s="43">
        <v>1</v>
      </c>
    </row>
    <row r="153" spans="1:2" x14ac:dyDescent="0.3">
      <c r="A153" s="2" t="s">
        <v>21</v>
      </c>
      <c r="B153" s="43">
        <v>1</v>
      </c>
    </row>
    <row r="154" spans="1:2" x14ac:dyDescent="0.3">
      <c r="A154" s="1" t="s">
        <v>738</v>
      </c>
      <c r="B154" s="43">
        <v>245</v>
      </c>
    </row>
    <row r="155" spans="1:2" x14ac:dyDescent="0.3">
      <c r="B155"/>
    </row>
    <row r="156" spans="1:2" x14ac:dyDescent="0.3">
      <c r="B156"/>
    </row>
    <row r="157" spans="1:2" x14ac:dyDescent="0.3">
      <c r="B157"/>
    </row>
    <row r="158" spans="1:2" x14ac:dyDescent="0.3">
      <c r="B158"/>
    </row>
    <row r="159" spans="1:2" x14ac:dyDescent="0.3">
      <c r="B159"/>
    </row>
    <row r="160" spans="1:2" x14ac:dyDescent="0.3">
      <c r="B160"/>
    </row>
    <row r="161" spans="2:2" x14ac:dyDescent="0.3">
      <c r="B161"/>
    </row>
    <row r="162" spans="2:2" x14ac:dyDescent="0.3">
      <c r="B162"/>
    </row>
    <row r="163" spans="2:2" x14ac:dyDescent="0.3">
      <c r="B163"/>
    </row>
    <row r="164" spans="2:2" x14ac:dyDescent="0.3">
      <c r="B164"/>
    </row>
    <row r="165" spans="2:2" x14ac:dyDescent="0.3">
      <c r="B165"/>
    </row>
    <row r="166" spans="2:2" x14ac:dyDescent="0.3">
      <c r="B166"/>
    </row>
    <row r="167" spans="2:2" x14ac:dyDescent="0.3">
      <c r="B167"/>
    </row>
    <row r="168" spans="2:2" x14ac:dyDescent="0.3">
      <c r="B168"/>
    </row>
    <row r="169" spans="2:2" x14ac:dyDescent="0.3">
      <c r="B169"/>
    </row>
    <row r="170" spans="2:2" x14ac:dyDescent="0.3">
      <c r="B170"/>
    </row>
    <row r="171" spans="2:2" x14ac:dyDescent="0.3">
      <c r="B171"/>
    </row>
    <row r="172" spans="2:2" x14ac:dyDescent="0.3">
      <c r="B172"/>
    </row>
    <row r="173" spans="2:2" x14ac:dyDescent="0.3">
      <c r="B173"/>
    </row>
    <row r="174" spans="2:2" x14ac:dyDescent="0.3">
      <c r="B174"/>
    </row>
    <row r="175" spans="2:2" x14ac:dyDescent="0.3">
      <c r="B175"/>
    </row>
    <row r="176" spans="2:2" x14ac:dyDescent="0.3">
      <c r="B176"/>
    </row>
    <row r="177" spans="2:2" x14ac:dyDescent="0.3">
      <c r="B177"/>
    </row>
    <row r="178" spans="2:2" x14ac:dyDescent="0.3">
      <c r="B178"/>
    </row>
    <row r="179" spans="2:2" x14ac:dyDescent="0.3">
      <c r="B179"/>
    </row>
    <row r="180" spans="2:2" x14ac:dyDescent="0.3">
      <c r="B180"/>
    </row>
    <row r="181" spans="2:2" x14ac:dyDescent="0.3">
      <c r="B181"/>
    </row>
    <row r="182" spans="2:2" x14ac:dyDescent="0.3">
      <c r="B182"/>
    </row>
    <row r="183" spans="2:2" x14ac:dyDescent="0.3">
      <c r="B183"/>
    </row>
    <row r="184" spans="2:2" x14ac:dyDescent="0.3">
      <c r="B184"/>
    </row>
    <row r="185" spans="2:2" x14ac:dyDescent="0.3">
      <c r="B185"/>
    </row>
    <row r="186" spans="2:2" x14ac:dyDescent="0.3">
      <c r="B186"/>
    </row>
    <row r="187" spans="2:2" x14ac:dyDescent="0.3">
      <c r="B187"/>
    </row>
    <row r="188" spans="2:2" x14ac:dyDescent="0.3">
      <c r="B188"/>
    </row>
    <row r="189" spans="2:2" x14ac:dyDescent="0.3">
      <c r="B189"/>
    </row>
    <row r="190" spans="2:2" x14ac:dyDescent="0.3">
      <c r="B190"/>
    </row>
    <row r="191" spans="2:2" x14ac:dyDescent="0.3">
      <c r="B191"/>
    </row>
    <row r="192" spans="2:2" x14ac:dyDescent="0.3">
      <c r="B192"/>
    </row>
    <row r="193" spans="2:2" x14ac:dyDescent="0.3">
      <c r="B193"/>
    </row>
    <row r="194" spans="2:2" x14ac:dyDescent="0.3">
      <c r="B194"/>
    </row>
    <row r="195" spans="2:2" x14ac:dyDescent="0.3">
      <c r="B195"/>
    </row>
    <row r="196" spans="2:2" x14ac:dyDescent="0.3">
      <c r="B196"/>
    </row>
    <row r="197" spans="2:2" x14ac:dyDescent="0.3">
      <c r="B197"/>
    </row>
    <row r="198" spans="2:2" x14ac:dyDescent="0.3">
      <c r="B198"/>
    </row>
    <row r="199" spans="2:2" x14ac:dyDescent="0.3">
      <c r="B199"/>
    </row>
    <row r="200" spans="2:2" x14ac:dyDescent="0.3">
      <c r="B200"/>
    </row>
    <row r="201" spans="2:2" x14ac:dyDescent="0.3">
      <c r="B201"/>
    </row>
    <row r="202" spans="2:2" x14ac:dyDescent="0.3">
      <c r="B202"/>
    </row>
    <row r="203" spans="2:2" x14ac:dyDescent="0.3">
      <c r="B203"/>
    </row>
    <row r="204" spans="2:2" x14ac:dyDescent="0.3">
      <c r="B204"/>
    </row>
    <row r="205" spans="2:2" x14ac:dyDescent="0.3">
      <c r="B205"/>
    </row>
    <row r="206" spans="2:2" x14ac:dyDescent="0.3">
      <c r="B206"/>
    </row>
    <row r="207" spans="2:2" x14ac:dyDescent="0.3">
      <c r="B207"/>
    </row>
    <row r="208" spans="2:2" x14ac:dyDescent="0.3">
      <c r="B208"/>
    </row>
    <row r="209" spans="2:2" x14ac:dyDescent="0.3">
      <c r="B209"/>
    </row>
    <row r="210" spans="2:2" x14ac:dyDescent="0.3">
      <c r="B210"/>
    </row>
    <row r="211" spans="2:2" x14ac:dyDescent="0.3">
      <c r="B211"/>
    </row>
    <row r="212" spans="2:2" x14ac:dyDescent="0.3">
      <c r="B212"/>
    </row>
    <row r="213" spans="2:2" x14ac:dyDescent="0.3">
      <c r="B213"/>
    </row>
    <row r="214" spans="2:2" x14ac:dyDescent="0.3">
      <c r="B214"/>
    </row>
    <row r="215" spans="2:2" x14ac:dyDescent="0.3">
      <c r="B215"/>
    </row>
    <row r="216" spans="2:2" x14ac:dyDescent="0.3">
      <c r="B216"/>
    </row>
    <row r="217" spans="2:2" x14ac:dyDescent="0.3">
      <c r="B217"/>
    </row>
    <row r="218" spans="2:2" x14ac:dyDescent="0.3">
      <c r="B218"/>
    </row>
    <row r="219" spans="2:2" x14ac:dyDescent="0.3">
      <c r="B219"/>
    </row>
    <row r="220" spans="2:2" x14ac:dyDescent="0.3">
      <c r="B220"/>
    </row>
    <row r="221" spans="2:2" x14ac:dyDescent="0.3">
      <c r="B221"/>
    </row>
    <row r="222" spans="2:2" x14ac:dyDescent="0.3">
      <c r="B222"/>
    </row>
    <row r="223" spans="2:2" x14ac:dyDescent="0.3">
      <c r="B223"/>
    </row>
    <row r="224" spans="2:2" x14ac:dyDescent="0.3">
      <c r="B224"/>
    </row>
    <row r="225" spans="2:2" x14ac:dyDescent="0.3">
      <c r="B225"/>
    </row>
    <row r="226" spans="2:2" x14ac:dyDescent="0.3">
      <c r="B226"/>
    </row>
    <row r="227" spans="2:2" x14ac:dyDescent="0.3">
      <c r="B227"/>
    </row>
    <row r="228" spans="2:2" x14ac:dyDescent="0.3">
      <c r="B228"/>
    </row>
    <row r="229" spans="2:2" x14ac:dyDescent="0.3">
      <c r="B229"/>
    </row>
    <row r="230" spans="2:2" x14ac:dyDescent="0.3">
      <c r="B230"/>
    </row>
    <row r="231" spans="2:2" x14ac:dyDescent="0.3">
      <c r="B231"/>
    </row>
    <row r="232" spans="2:2" x14ac:dyDescent="0.3">
      <c r="B232"/>
    </row>
    <row r="233" spans="2:2" x14ac:dyDescent="0.3">
      <c r="B233"/>
    </row>
    <row r="234" spans="2:2" x14ac:dyDescent="0.3">
      <c r="B234"/>
    </row>
    <row r="235" spans="2:2" x14ac:dyDescent="0.3">
      <c r="B235"/>
    </row>
    <row r="236" spans="2:2" x14ac:dyDescent="0.3">
      <c r="B236"/>
    </row>
    <row r="237" spans="2:2" x14ac:dyDescent="0.3">
      <c r="B237"/>
    </row>
    <row r="238" spans="2:2" x14ac:dyDescent="0.3">
      <c r="B238"/>
    </row>
    <row r="239" spans="2:2" x14ac:dyDescent="0.3">
      <c r="B239"/>
    </row>
    <row r="240" spans="2:2" x14ac:dyDescent="0.3">
      <c r="B240"/>
    </row>
    <row r="241" spans="2:2" x14ac:dyDescent="0.3">
      <c r="B241"/>
    </row>
    <row r="242" spans="2:2" x14ac:dyDescent="0.3">
      <c r="B242"/>
    </row>
    <row r="243" spans="2:2" x14ac:dyDescent="0.3">
      <c r="B243"/>
    </row>
    <row r="244" spans="2:2" x14ac:dyDescent="0.3">
      <c r="B244"/>
    </row>
    <row r="245" spans="2:2" x14ac:dyDescent="0.3">
      <c r="B245"/>
    </row>
    <row r="246" spans="2:2" x14ac:dyDescent="0.3">
      <c r="B246"/>
    </row>
    <row r="247" spans="2:2" x14ac:dyDescent="0.3">
      <c r="B247"/>
    </row>
    <row r="248" spans="2:2" x14ac:dyDescent="0.3">
      <c r="B248"/>
    </row>
    <row r="249" spans="2:2" x14ac:dyDescent="0.3">
      <c r="B249"/>
    </row>
    <row r="250" spans="2:2" x14ac:dyDescent="0.3">
      <c r="B250"/>
    </row>
    <row r="251" spans="2:2" x14ac:dyDescent="0.3">
      <c r="B251"/>
    </row>
    <row r="252" spans="2:2" x14ac:dyDescent="0.3">
      <c r="B252"/>
    </row>
    <row r="253" spans="2:2" x14ac:dyDescent="0.3">
      <c r="B253"/>
    </row>
    <row r="254" spans="2:2" x14ac:dyDescent="0.3">
      <c r="B254"/>
    </row>
    <row r="255" spans="2:2" x14ac:dyDescent="0.3">
      <c r="B255"/>
    </row>
    <row r="256" spans="2:2" x14ac:dyDescent="0.3">
      <c r="B256"/>
    </row>
    <row r="257" spans="2:2" x14ac:dyDescent="0.3">
      <c r="B257"/>
    </row>
    <row r="258" spans="2:2" x14ac:dyDescent="0.3">
      <c r="B258"/>
    </row>
    <row r="259" spans="2:2" x14ac:dyDescent="0.3">
      <c r="B259"/>
    </row>
    <row r="260" spans="2:2" x14ac:dyDescent="0.3">
      <c r="B260"/>
    </row>
    <row r="261" spans="2:2" x14ac:dyDescent="0.3">
      <c r="B261"/>
    </row>
    <row r="262" spans="2:2" x14ac:dyDescent="0.3">
      <c r="B262"/>
    </row>
    <row r="263" spans="2:2" x14ac:dyDescent="0.3">
      <c r="B263"/>
    </row>
    <row r="264" spans="2:2" x14ac:dyDescent="0.3">
      <c r="B264"/>
    </row>
    <row r="265" spans="2:2" x14ac:dyDescent="0.3">
      <c r="B265"/>
    </row>
    <row r="266" spans="2:2" x14ac:dyDescent="0.3">
      <c r="B266"/>
    </row>
    <row r="267" spans="2:2" x14ac:dyDescent="0.3">
      <c r="B267"/>
    </row>
    <row r="268" spans="2:2" x14ac:dyDescent="0.3">
      <c r="B268"/>
    </row>
    <row r="269" spans="2:2" x14ac:dyDescent="0.3">
      <c r="B269"/>
    </row>
    <row r="270" spans="2:2" x14ac:dyDescent="0.3">
      <c r="B270"/>
    </row>
    <row r="271" spans="2:2" x14ac:dyDescent="0.3">
      <c r="B271"/>
    </row>
    <row r="272" spans="2:2" x14ac:dyDescent="0.3">
      <c r="B272"/>
    </row>
    <row r="273" spans="2:2" x14ac:dyDescent="0.3">
      <c r="B273"/>
    </row>
    <row r="274" spans="2:2" x14ac:dyDescent="0.3">
      <c r="B274"/>
    </row>
    <row r="275" spans="2:2" x14ac:dyDescent="0.3">
      <c r="B275"/>
    </row>
    <row r="276" spans="2:2" x14ac:dyDescent="0.3">
      <c r="B276"/>
    </row>
    <row r="277" spans="2:2" x14ac:dyDescent="0.3">
      <c r="B277"/>
    </row>
    <row r="278" spans="2:2" x14ac:dyDescent="0.3">
      <c r="B278"/>
    </row>
    <row r="279" spans="2:2" x14ac:dyDescent="0.3">
      <c r="B279"/>
    </row>
    <row r="280" spans="2:2" x14ac:dyDescent="0.3">
      <c r="B280"/>
    </row>
    <row r="281" spans="2:2" x14ac:dyDescent="0.3">
      <c r="B281"/>
    </row>
  </sheetData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82061-798A-4468-81BA-0A3C4EE2B83F}">
  <sheetPr codeName="Sheet2"/>
  <dimension ref="A3:C337"/>
  <sheetViews>
    <sheetView workbookViewId="0">
      <selection activeCell="C3" sqref="C3"/>
    </sheetView>
  </sheetViews>
  <sheetFormatPr defaultRowHeight="14.4" x14ac:dyDescent="0.3"/>
  <cols>
    <col min="1" max="1" width="54.33203125" bestFit="1" customWidth="1"/>
    <col min="2" max="2" width="14.33203125" style="9" bestFit="1" customWidth="1"/>
    <col min="3" max="3" width="12" style="9" bestFit="1" customWidth="1"/>
    <col min="4" max="4" width="5" bestFit="1" customWidth="1"/>
    <col min="5" max="6" width="10.6640625" bestFit="1" customWidth="1"/>
  </cols>
  <sheetData>
    <row r="3" spans="1:3" x14ac:dyDescent="0.3">
      <c r="A3" s="8" t="s">
        <v>737</v>
      </c>
      <c r="B3" s="9" t="s">
        <v>519</v>
      </c>
      <c r="C3" s="9" t="s">
        <v>521</v>
      </c>
    </row>
    <row r="4" spans="1:3" x14ac:dyDescent="0.3">
      <c r="A4" s="1" t="s">
        <v>140</v>
      </c>
      <c r="B4" s="43">
        <v>1</v>
      </c>
      <c r="C4" s="43">
        <v>20</v>
      </c>
    </row>
    <row r="5" spans="1:3" x14ac:dyDescent="0.3">
      <c r="A5" s="2" t="s">
        <v>30</v>
      </c>
      <c r="B5" s="43">
        <v>1</v>
      </c>
      <c r="C5" s="43">
        <v>20</v>
      </c>
    </row>
    <row r="6" spans="1:3" x14ac:dyDescent="0.3">
      <c r="A6" s="1" t="s">
        <v>132</v>
      </c>
      <c r="B6" s="43">
        <v>1</v>
      </c>
      <c r="C6" s="43">
        <v>20</v>
      </c>
    </row>
    <row r="7" spans="1:3" x14ac:dyDescent="0.3">
      <c r="A7" s="2" t="s">
        <v>30</v>
      </c>
      <c r="B7" s="43">
        <v>1</v>
      </c>
      <c r="C7" s="43">
        <v>20</v>
      </c>
    </row>
    <row r="8" spans="1:3" x14ac:dyDescent="0.3">
      <c r="A8" s="1" t="s">
        <v>204</v>
      </c>
      <c r="B8" s="43">
        <v>1</v>
      </c>
      <c r="C8" s="43">
        <v>20</v>
      </c>
    </row>
    <row r="9" spans="1:3" x14ac:dyDescent="0.3">
      <c r="A9" s="2" t="s">
        <v>30</v>
      </c>
      <c r="B9" s="43">
        <v>1</v>
      </c>
      <c r="C9" s="43">
        <v>20</v>
      </c>
    </row>
    <row r="10" spans="1:3" x14ac:dyDescent="0.3">
      <c r="A10" s="1" t="s">
        <v>175</v>
      </c>
      <c r="B10" s="43">
        <v>1</v>
      </c>
      <c r="C10" s="43">
        <v>20</v>
      </c>
    </row>
    <row r="11" spans="1:3" x14ac:dyDescent="0.3">
      <c r="A11" s="2" t="s">
        <v>30</v>
      </c>
      <c r="B11" s="43">
        <v>1</v>
      </c>
      <c r="C11" s="43">
        <v>20</v>
      </c>
    </row>
    <row r="12" spans="1:3" x14ac:dyDescent="0.3">
      <c r="A12" s="1" t="s">
        <v>288</v>
      </c>
      <c r="B12" s="43">
        <v>5</v>
      </c>
      <c r="C12" s="43">
        <v>100</v>
      </c>
    </row>
    <row r="13" spans="1:3" x14ac:dyDescent="0.3">
      <c r="A13" s="2" t="s">
        <v>22</v>
      </c>
      <c r="B13" s="43">
        <v>1</v>
      </c>
      <c r="C13" s="43">
        <v>20</v>
      </c>
    </row>
    <row r="14" spans="1:3" x14ac:dyDescent="0.3">
      <c r="A14" s="2" t="s">
        <v>30</v>
      </c>
      <c r="B14" s="43">
        <v>4</v>
      </c>
      <c r="C14" s="43">
        <v>80</v>
      </c>
    </row>
    <row r="15" spans="1:3" x14ac:dyDescent="0.3">
      <c r="A15" s="1" t="s">
        <v>441</v>
      </c>
      <c r="B15" s="43">
        <v>3</v>
      </c>
      <c r="C15" s="43">
        <v>60</v>
      </c>
    </row>
    <row r="16" spans="1:3" x14ac:dyDescent="0.3">
      <c r="A16" s="2" t="s">
        <v>30</v>
      </c>
      <c r="B16" s="43">
        <v>3</v>
      </c>
      <c r="C16" s="43">
        <v>60</v>
      </c>
    </row>
    <row r="17" spans="1:3" x14ac:dyDescent="0.3">
      <c r="A17" s="1" t="s">
        <v>410</v>
      </c>
      <c r="B17" s="43">
        <v>2</v>
      </c>
      <c r="C17" s="43">
        <v>40</v>
      </c>
    </row>
    <row r="18" spans="1:3" x14ac:dyDescent="0.3">
      <c r="A18" s="2" t="s">
        <v>22</v>
      </c>
      <c r="B18" s="43">
        <v>1</v>
      </c>
      <c r="C18" s="43">
        <v>20</v>
      </c>
    </row>
    <row r="19" spans="1:3" x14ac:dyDescent="0.3">
      <c r="A19" s="2" t="s">
        <v>30</v>
      </c>
      <c r="B19" s="43">
        <v>1</v>
      </c>
      <c r="C19" s="43">
        <v>20</v>
      </c>
    </row>
    <row r="20" spans="1:3" x14ac:dyDescent="0.3">
      <c r="A20" s="1" t="s">
        <v>350</v>
      </c>
      <c r="B20" s="43">
        <v>2</v>
      </c>
      <c r="C20" s="43">
        <v>0</v>
      </c>
    </row>
    <row r="21" spans="1:3" x14ac:dyDescent="0.3">
      <c r="A21" s="2" t="s">
        <v>19</v>
      </c>
      <c r="B21" s="43">
        <v>2</v>
      </c>
      <c r="C21" s="43">
        <v>0</v>
      </c>
    </row>
    <row r="22" spans="1:3" x14ac:dyDescent="0.3">
      <c r="A22" s="1" t="s">
        <v>539</v>
      </c>
      <c r="B22" s="43">
        <v>11</v>
      </c>
      <c r="C22" s="43">
        <v>160</v>
      </c>
    </row>
    <row r="23" spans="1:3" x14ac:dyDescent="0.3">
      <c r="A23" s="2" t="s">
        <v>19</v>
      </c>
      <c r="B23" s="43">
        <v>3</v>
      </c>
      <c r="C23" s="43">
        <v>0</v>
      </c>
    </row>
    <row r="24" spans="1:3" x14ac:dyDescent="0.3">
      <c r="A24" s="2" t="s">
        <v>30</v>
      </c>
      <c r="B24" s="43">
        <v>8</v>
      </c>
      <c r="C24" s="43">
        <v>160</v>
      </c>
    </row>
    <row r="25" spans="1:3" x14ac:dyDescent="0.3">
      <c r="A25" s="1" t="s">
        <v>400</v>
      </c>
      <c r="B25" s="43">
        <v>4</v>
      </c>
      <c r="C25" s="43">
        <v>60</v>
      </c>
    </row>
    <row r="26" spans="1:3" x14ac:dyDescent="0.3">
      <c r="A26" s="2" t="s">
        <v>19</v>
      </c>
      <c r="B26" s="43">
        <v>1</v>
      </c>
      <c r="C26" s="43">
        <v>0</v>
      </c>
    </row>
    <row r="27" spans="1:3" x14ac:dyDescent="0.3">
      <c r="A27" s="2" t="s">
        <v>30</v>
      </c>
      <c r="B27" s="43">
        <v>3</v>
      </c>
      <c r="C27" s="43">
        <v>60</v>
      </c>
    </row>
    <row r="28" spans="1:3" x14ac:dyDescent="0.3">
      <c r="A28" s="1" t="s">
        <v>118</v>
      </c>
      <c r="B28" s="43">
        <v>3</v>
      </c>
      <c r="C28" s="43">
        <v>62</v>
      </c>
    </row>
    <row r="29" spans="1:3" x14ac:dyDescent="0.3">
      <c r="A29" s="2" t="s">
        <v>22</v>
      </c>
      <c r="B29" s="43">
        <v>1</v>
      </c>
      <c r="C29" s="43">
        <v>20</v>
      </c>
    </row>
    <row r="30" spans="1:3" x14ac:dyDescent="0.3">
      <c r="A30" s="2" t="s">
        <v>30</v>
      </c>
      <c r="B30" s="43">
        <v>1</v>
      </c>
      <c r="C30" s="43">
        <v>20</v>
      </c>
    </row>
    <row r="31" spans="1:3" x14ac:dyDescent="0.3">
      <c r="A31" s="2" t="s">
        <v>33</v>
      </c>
      <c r="B31" s="43">
        <v>1</v>
      </c>
      <c r="C31" s="43">
        <v>22</v>
      </c>
    </row>
    <row r="32" spans="1:3" x14ac:dyDescent="0.3">
      <c r="A32" s="1" t="s">
        <v>196</v>
      </c>
      <c r="B32" s="43">
        <v>3</v>
      </c>
      <c r="C32" s="43">
        <v>60</v>
      </c>
    </row>
    <row r="33" spans="1:3" x14ac:dyDescent="0.3">
      <c r="A33" s="2" t="s">
        <v>30</v>
      </c>
      <c r="B33" s="43">
        <v>3</v>
      </c>
      <c r="C33" s="43">
        <v>60</v>
      </c>
    </row>
    <row r="34" spans="1:3" x14ac:dyDescent="0.3">
      <c r="A34" s="1" t="s">
        <v>136</v>
      </c>
      <c r="B34" s="43">
        <v>15</v>
      </c>
      <c r="C34" s="43">
        <v>200</v>
      </c>
    </row>
    <row r="35" spans="1:3" x14ac:dyDescent="0.3">
      <c r="A35" s="2" t="s">
        <v>19</v>
      </c>
      <c r="B35" s="43">
        <v>5</v>
      </c>
      <c r="C35" s="43">
        <v>0</v>
      </c>
    </row>
    <row r="36" spans="1:3" x14ac:dyDescent="0.3">
      <c r="A36" s="2" t="s">
        <v>30</v>
      </c>
      <c r="B36" s="43">
        <v>10</v>
      </c>
      <c r="C36" s="43">
        <v>200</v>
      </c>
    </row>
    <row r="37" spans="1:3" x14ac:dyDescent="0.3">
      <c r="A37" s="1" t="s">
        <v>152</v>
      </c>
      <c r="B37" s="43">
        <v>4</v>
      </c>
      <c r="C37" s="43">
        <v>40</v>
      </c>
    </row>
    <row r="38" spans="1:3" x14ac:dyDescent="0.3">
      <c r="A38" s="2" t="s">
        <v>19</v>
      </c>
      <c r="B38" s="43">
        <v>2</v>
      </c>
      <c r="C38" s="43">
        <v>0</v>
      </c>
    </row>
    <row r="39" spans="1:3" x14ac:dyDescent="0.3">
      <c r="A39" s="2" t="s">
        <v>30</v>
      </c>
      <c r="B39" s="43">
        <v>2</v>
      </c>
      <c r="C39" s="43">
        <v>40</v>
      </c>
    </row>
    <row r="40" spans="1:3" x14ac:dyDescent="0.3">
      <c r="A40" s="1" t="s">
        <v>496</v>
      </c>
      <c r="B40" s="43">
        <v>1</v>
      </c>
      <c r="C40" s="43">
        <v>22</v>
      </c>
    </row>
    <row r="41" spans="1:3" x14ac:dyDescent="0.3">
      <c r="A41" s="2" t="s">
        <v>33</v>
      </c>
      <c r="B41" s="43">
        <v>1</v>
      </c>
      <c r="C41" s="43">
        <v>22</v>
      </c>
    </row>
    <row r="42" spans="1:3" x14ac:dyDescent="0.3">
      <c r="A42" s="1" t="s">
        <v>559</v>
      </c>
      <c r="B42" s="43">
        <v>9</v>
      </c>
      <c r="C42" s="43">
        <v>180</v>
      </c>
    </row>
    <row r="43" spans="1:3" x14ac:dyDescent="0.3">
      <c r="A43" s="2" t="s">
        <v>22</v>
      </c>
      <c r="B43" s="43">
        <v>1</v>
      </c>
      <c r="C43" s="43">
        <v>20</v>
      </c>
    </row>
    <row r="44" spans="1:3" x14ac:dyDescent="0.3">
      <c r="A44" s="2" t="s">
        <v>30</v>
      </c>
      <c r="B44" s="43">
        <v>8</v>
      </c>
      <c r="C44" s="43">
        <v>160</v>
      </c>
    </row>
    <row r="45" spans="1:3" x14ac:dyDescent="0.3">
      <c r="A45" s="1" t="s">
        <v>527</v>
      </c>
      <c r="B45" s="43">
        <v>1</v>
      </c>
      <c r="C45" s="43">
        <v>0</v>
      </c>
    </row>
    <row r="46" spans="1:3" x14ac:dyDescent="0.3">
      <c r="A46" s="2" t="s">
        <v>19</v>
      </c>
      <c r="B46" s="43">
        <v>1</v>
      </c>
      <c r="C46" s="43">
        <v>0</v>
      </c>
    </row>
    <row r="47" spans="1:3" x14ac:dyDescent="0.3">
      <c r="A47" s="1" t="s">
        <v>590</v>
      </c>
      <c r="B47" s="43">
        <v>13</v>
      </c>
      <c r="C47" s="43">
        <v>120</v>
      </c>
    </row>
    <row r="48" spans="1:3" x14ac:dyDescent="0.3">
      <c r="A48" s="2" t="s">
        <v>19</v>
      </c>
      <c r="B48" s="43">
        <v>7</v>
      </c>
      <c r="C48" s="43">
        <v>0</v>
      </c>
    </row>
    <row r="49" spans="1:3" x14ac:dyDescent="0.3">
      <c r="A49" s="2" t="s">
        <v>30</v>
      </c>
      <c r="B49" s="43">
        <v>6</v>
      </c>
      <c r="C49" s="43">
        <v>120</v>
      </c>
    </row>
    <row r="50" spans="1:3" x14ac:dyDescent="0.3">
      <c r="A50" s="1" t="s">
        <v>575</v>
      </c>
      <c r="B50" s="43">
        <v>6</v>
      </c>
      <c r="C50" s="43">
        <v>80</v>
      </c>
    </row>
    <row r="51" spans="1:3" x14ac:dyDescent="0.3">
      <c r="A51" s="2" t="s">
        <v>19</v>
      </c>
      <c r="B51" s="43">
        <v>2</v>
      </c>
      <c r="C51" s="43">
        <v>0</v>
      </c>
    </row>
    <row r="52" spans="1:3" x14ac:dyDescent="0.3">
      <c r="A52" s="2" t="s">
        <v>30</v>
      </c>
      <c r="B52" s="43">
        <v>4</v>
      </c>
      <c r="C52" s="43">
        <v>80</v>
      </c>
    </row>
    <row r="53" spans="1:3" x14ac:dyDescent="0.3">
      <c r="A53" s="1" t="s">
        <v>588</v>
      </c>
      <c r="B53" s="43">
        <v>18</v>
      </c>
      <c r="C53" s="43">
        <v>280</v>
      </c>
    </row>
    <row r="54" spans="1:3" x14ac:dyDescent="0.3">
      <c r="A54" s="2" t="s">
        <v>15</v>
      </c>
      <c r="B54" s="43">
        <v>1</v>
      </c>
      <c r="C54" s="43">
        <v>0</v>
      </c>
    </row>
    <row r="55" spans="1:3" x14ac:dyDescent="0.3">
      <c r="A55" s="2" t="s">
        <v>19</v>
      </c>
      <c r="B55" s="43">
        <v>3</v>
      </c>
      <c r="C55" s="43">
        <v>0</v>
      </c>
    </row>
    <row r="56" spans="1:3" x14ac:dyDescent="0.3">
      <c r="A56" s="2" t="s">
        <v>22</v>
      </c>
      <c r="B56" s="43">
        <v>2</v>
      </c>
      <c r="C56" s="43">
        <v>40</v>
      </c>
    </row>
    <row r="57" spans="1:3" x14ac:dyDescent="0.3">
      <c r="A57" s="2" t="s">
        <v>30</v>
      </c>
      <c r="B57" s="43">
        <v>12</v>
      </c>
      <c r="C57" s="43">
        <v>240</v>
      </c>
    </row>
    <row r="58" spans="1:3" x14ac:dyDescent="0.3">
      <c r="A58" s="1" t="s">
        <v>542</v>
      </c>
      <c r="B58" s="43">
        <v>1</v>
      </c>
      <c r="C58" s="43">
        <v>0</v>
      </c>
    </row>
    <row r="59" spans="1:3" x14ac:dyDescent="0.3">
      <c r="A59" s="2" t="s">
        <v>19</v>
      </c>
      <c r="B59" s="43">
        <v>1</v>
      </c>
      <c r="C59" s="43">
        <v>0</v>
      </c>
    </row>
    <row r="60" spans="1:3" x14ac:dyDescent="0.3">
      <c r="A60" s="1" t="s">
        <v>583</v>
      </c>
      <c r="B60" s="43">
        <v>5</v>
      </c>
      <c r="C60" s="43">
        <v>100</v>
      </c>
    </row>
    <row r="61" spans="1:3" x14ac:dyDescent="0.3">
      <c r="A61" s="2" t="s">
        <v>22</v>
      </c>
      <c r="B61" s="43">
        <v>1</v>
      </c>
      <c r="C61" s="43">
        <v>20</v>
      </c>
    </row>
    <row r="62" spans="1:3" x14ac:dyDescent="0.3">
      <c r="A62" s="2" t="s">
        <v>30</v>
      </c>
      <c r="B62" s="43">
        <v>4</v>
      </c>
      <c r="C62" s="43">
        <v>80</v>
      </c>
    </row>
    <row r="63" spans="1:3" x14ac:dyDescent="0.3">
      <c r="A63" s="1" t="s">
        <v>551</v>
      </c>
      <c r="B63" s="43">
        <v>12</v>
      </c>
      <c r="C63" s="43">
        <v>160</v>
      </c>
    </row>
    <row r="64" spans="1:3" x14ac:dyDescent="0.3">
      <c r="A64" s="2" t="s">
        <v>19</v>
      </c>
      <c r="B64" s="43">
        <v>4</v>
      </c>
      <c r="C64" s="43">
        <v>0</v>
      </c>
    </row>
    <row r="65" spans="1:3" x14ac:dyDescent="0.3">
      <c r="A65" s="2" t="s">
        <v>30</v>
      </c>
      <c r="B65" s="43">
        <v>8</v>
      </c>
      <c r="C65" s="43">
        <v>160</v>
      </c>
    </row>
    <row r="66" spans="1:3" x14ac:dyDescent="0.3">
      <c r="A66" s="1" t="s">
        <v>535</v>
      </c>
      <c r="B66" s="43">
        <v>3</v>
      </c>
      <c r="C66" s="43">
        <v>40</v>
      </c>
    </row>
    <row r="67" spans="1:3" x14ac:dyDescent="0.3">
      <c r="A67" s="2" t="s">
        <v>19</v>
      </c>
      <c r="B67" s="43">
        <v>1</v>
      </c>
      <c r="C67" s="43">
        <v>0</v>
      </c>
    </row>
    <row r="68" spans="1:3" x14ac:dyDescent="0.3">
      <c r="A68" s="2" t="s">
        <v>30</v>
      </c>
      <c r="B68" s="43">
        <v>2</v>
      </c>
      <c r="C68" s="43">
        <v>40</v>
      </c>
    </row>
    <row r="69" spans="1:3" x14ac:dyDescent="0.3">
      <c r="A69" s="1" t="s">
        <v>577</v>
      </c>
      <c r="B69" s="43">
        <v>1</v>
      </c>
      <c r="C69" s="43">
        <v>20</v>
      </c>
    </row>
    <row r="70" spans="1:3" x14ac:dyDescent="0.3">
      <c r="A70" s="2" t="s">
        <v>30</v>
      </c>
      <c r="B70" s="43">
        <v>1</v>
      </c>
      <c r="C70" s="43">
        <v>20</v>
      </c>
    </row>
    <row r="71" spans="1:3" x14ac:dyDescent="0.3">
      <c r="A71" s="1" t="s">
        <v>335</v>
      </c>
      <c r="B71" s="43">
        <v>1</v>
      </c>
      <c r="C71" s="43">
        <v>20</v>
      </c>
    </row>
    <row r="72" spans="1:3" x14ac:dyDescent="0.3">
      <c r="A72" s="2" t="s">
        <v>30</v>
      </c>
      <c r="B72" s="43">
        <v>1</v>
      </c>
      <c r="C72" s="43">
        <v>20</v>
      </c>
    </row>
    <row r="73" spans="1:3" x14ac:dyDescent="0.3">
      <c r="A73" s="1" t="s">
        <v>392</v>
      </c>
      <c r="B73" s="43">
        <v>2</v>
      </c>
      <c r="C73" s="43">
        <v>20</v>
      </c>
    </row>
    <row r="74" spans="1:3" x14ac:dyDescent="0.3">
      <c r="A74" s="2" t="s">
        <v>19</v>
      </c>
      <c r="B74" s="43">
        <v>1</v>
      </c>
      <c r="C74" s="43">
        <v>0</v>
      </c>
    </row>
    <row r="75" spans="1:3" x14ac:dyDescent="0.3">
      <c r="A75" s="2" t="s">
        <v>30</v>
      </c>
      <c r="B75" s="43">
        <v>1</v>
      </c>
      <c r="C75" s="43">
        <v>20</v>
      </c>
    </row>
    <row r="76" spans="1:3" x14ac:dyDescent="0.3">
      <c r="A76" s="1" t="s">
        <v>209</v>
      </c>
      <c r="B76" s="43">
        <v>4</v>
      </c>
      <c r="C76" s="43">
        <v>60</v>
      </c>
    </row>
    <row r="77" spans="1:3" x14ac:dyDescent="0.3">
      <c r="A77" s="2" t="s">
        <v>19</v>
      </c>
      <c r="B77" s="43">
        <v>1</v>
      </c>
      <c r="C77" s="43">
        <v>0</v>
      </c>
    </row>
    <row r="78" spans="1:3" x14ac:dyDescent="0.3">
      <c r="A78" s="2" t="s">
        <v>30</v>
      </c>
      <c r="B78" s="43">
        <v>3</v>
      </c>
      <c r="C78" s="43">
        <v>60</v>
      </c>
    </row>
    <row r="79" spans="1:3" x14ac:dyDescent="0.3">
      <c r="A79" s="1" t="s">
        <v>434</v>
      </c>
      <c r="B79" s="43">
        <v>2</v>
      </c>
      <c r="C79" s="43">
        <v>0</v>
      </c>
    </row>
    <row r="80" spans="1:3" x14ac:dyDescent="0.3">
      <c r="A80" s="2" t="s">
        <v>19</v>
      </c>
      <c r="B80" s="43">
        <v>2</v>
      </c>
      <c r="C80" s="43">
        <v>0</v>
      </c>
    </row>
    <row r="81" spans="1:3" x14ac:dyDescent="0.3">
      <c r="A81" s="1" t="s">
        <v>470</v>
      </c>
      <c r="B81" s="43">
        <v>1</v>
      </c>
      <c r="C81" s="43">
        <v>0</v>
      </c>
    </row>
    <row r="82" spans="1:3" x14ac:dyDescent="0.3">
      <c r="A82" s="2" t="s">
        <v>19</v>
      </c>
      <c r="B82" s="43">
        <v>1</v>
      </c>
      <c r="C82" s="43">
        <v>0</v>
      </c>
    </row>
    <row r="83" spans="1:3" x14ac:dyDescent="0.3">
      <c r="A83" s="1" t="s">
        <v>449</v>
      </c>
      <c r="B83" s="43">
        <v>2</v>
      </c>
      <c r="C83" s="43">
        <v>40</v>
      </c>
    </row>
    <row r="84" spans="1:3" x14ac:dyDescent="0.3">
      <c r="A84" s="2" t="s">
        <v>22</v>
      </c>
      <c r="B84" s="43">
        <v>1</v>
      </c>
      <c r="C84" s="43">
        <v>20</v>
      </c>
    </row>
    <row r="85" spans="1:3" x14ac:dyDescent="0.3">
      <c r="A85" s="2" t="s">
        <v>30</v>
      </c>
      <c r="B85" s="43">
        <v>1</v>
      </c>
      <c r="C85" s="43">
        <v>20</v>
      </c>
    </row>
    <row r="86" spans="1:3" x14ac:dyDescent="0.3">
      <c r="A86" s="1" t="s">
        <v>597</v>
      </c>
      <c r="B86" s="43">
        <v>1</v>
      </c>
      <c r="C86" s="43">
        <v>20</v>
      </c>
    </row>
    <row r="87" spans="1:3" x14ac:dyDescent="0.3">
      <c r="A87" s="2" t="s">
        <v>30</v>
      </c>
      <c r="B87" s="43">
        <v>1</v>
      </c>
      <c r="C87" s="43">
        <v>20</v>
      </c>
    </row>
    <row r="88" spans="1:3" x14ac:dyDescent="0.3">
      <c r="A88" s="1" t="s">
        <v>280</v>
      </c>
      <c r="B88" s="43">
        <v>2</v>
      </c>
      <c r="C88" s="43">
        <v>20</v>
      </c>
    </row>
    <row r="89" spans="1:3" x14ac:dyDescent="0.3">
      <c r="A89" s="2" t="s">
        <v>19</v>
      </c>
      <c r="B89" s="43">
        <v>1</v>
      </c>
      <c r="C89" s="43">
        <v>0</v>
      </c>
    </row>
    <row r="90" spans="1:3" x14ac:dyDescent="0.3">
      <c r="A90" s="2" t="s">
        <v>30</v>
      </c>
      <c r="B90" s="43">
        <v>1</v>
      </c>
      <c r="C90" s="43">
        <v>20</v>
      </c>
    </row>
    <row r="91" spans="1:3" x14ac:dyDescent="0.3">
      <c r="A91" s="1" t="s">
        <v>533</v>
      </c>
      <c r="B91" s="43">
        <v>1</v>
      </c>
      <c r="C91" s="43">
        <v>20</v>
      </c>
    </row>
    <row r="92" spans="1:3" x14ac:dyDescent="0.3">
      <c r="A92" s="2" t="s">
        <v>30</v>
      </c>
      <c r="B92" s="43">
        <v>1</v>
      </c>
      <c r="C92" s="43">
        <v>20</v>
      </c>
    </row>
    <row r="93" spans="1:3" x14ac:dyDescent="0.3">
      <c r="A93" s="1" t="s">
        <v>380</v>
      </c>
      <c r="B93" s="43">
        <v>2</v>
      </c>
      <c r="C93" s="43">
        <v>20</v>
      </c>
    </row>
    <row r="94" spans="1:3" x14ac:dyDescent="0.3">
      <c r="A94" s="2" t="s">
        <v>19</v>
      </c>
      <c r="B94" s="43">
        <v>1</v>
      </c>
      <c r="C94" s="43">
        <v>0</v>
      </c>
    </row>
    <row r="95" spans="1:3" x14ac:dyDescent="0.3">
      <c r="A95" s="2" t="s">
        <v>30</v>
      </c>
      <c r="B95" s="43">
        <v>1</v>
      </c>
      <c r="C95" s="43">
        <v>20</v>
      </c>
    </row>
    <row r="96" spans="1:3" x14ac:dyDescent="0.3">
      <c r="A96" s="1" t="s">
        <v>121</v>
      </c>
      <c r="B96" s="43">
        <v>2</v>
      </c>
      <c r="C96" s="43">
        <v>0</v>
      </c>
    </row>
    <row r="97" spans="1:3" x14ac:dyDescent="0.3">
      <c r="A97" s="2" t="s">
        <v>19</v>
      </c>
      <c r="B97" s="43">
        <v>2</v>
      </c>
      <c r="C97" s="43">
        <v>0</v>
      </c>
    </row>
    <row r="98" spans="1:3" x14ac:dyDescent="0.3">
      <c r="A98" s="1" t="s">
        <v>617</v>
      </c>
      <c r="B98" s="43">
        <v>2</v>
      </c>
      <c r="C98" s="43">
        <v>40</v>
      </c>
    </row>
    <row r="99" spans="1:3" x14ac:dyDescent="0.3">
      <c r="A99" s="2" t="s">
        <v>30</v>
      </c>
      <c r="B99" s="43">
        <v>2</v>
      </c>
      <c r="C99" s="43">
        <v>40</v>
      </c>
    </row>
    <row r="100" spans="1:3" x14ac:dyDescent="0.3">
      <c r="A100" s="1" t="s">
        <v>622</v>
      </c>
      <c r="B100" s="43">
        <v>4</v>
      </c>
      <c r="C100" s="43">
        <v>80</v>
      </c>
    </row>
    <row r="101" spans="1:3" x14ac:dyDescent="0.3">
      <c r="A101" s="2" t="s">
        <v>30</v>
      </c>
      <c r="B101" s="43">
        <v>4</v>
      </c>
      <c r="C101" s="43">
        <v>80</v>
      </c>
    </row>
    <row r="102" spans="1:3" x14ac:dyDescent="0.3">
      <c r="A102" s="1" t="s">
        <v>560</v>
      </c>
      <c r="B102" s="43">
        <v>2</v>
      </c>
      <c r="C102" s="43">
        <v>20</v>
      </c>
    </row>
    <row r="103" spans="1:3" x14ac:dyDescent="0.3">
      <c r="A103" s="2" t="s">
        <v>19</v>
      </c>
      <c r="B103" s="43">
        <v>1</v>
      </c>
      <c r="C103" s="43">
        <v>0</v>
      </c>
    </row>
    <row r="104" spans="1:3" x14ac:dyDescent="0.3">
      <c r="A104" s="2" t="s">
        <v>30</v>
      </c>
      <c r="B104" s="43">
        <v>1</v>
      </c>
      <c r="C104" s="43">
        <v>20</v>
      </c>
    </row>
    <row r="105" spans="1:3" x14ac:dyDescent="0.3">
      <c r="A105" s="1" t="s">
        <v>632</v>
      </c>
      <c r="B105" s="43">
        <v>10</v>
      </c>
      <c r="C105" s="43">
        <v>120</v>
      </c>
    </row>
    <row r="106" spans="1:3" x14ac:dyDescent="0.3">
      <c r="A106" s="2" t="s">
        <v>19</v>
      </c>
      <c r="B106" s="43">
        <v>4</v>
      </c>
      <c r="C106" s="43">
        <v>0</v>
      </c>
    </row>
    <row r="107" spans="1:3" x14ac:dyDescent="0.3">
      <c r="A107" s="2" t="s">
        <v>30</v>
      </c>
      <c r="B107" s="43">
        <v>6</v>
      </c>
      <c r="C107" s="43">
        <v>120</v>
      </c>
    </row>
    <row r="108" spans="1:3" x14ac:dyDescent="0.3">
      <c r="A108" s="1" t="s">
        <v>592</v>
      </c>
      <c r="B108" s="43">
        <v>1</v>
      </c>
      <c r="C108" s="43">
        <v>20</v>
      </c>
    </row>
    <row r="109" spans="1:3" x14ac:dyDescent="0.3">
      <c r="A109" s="2" t="s">
        <v>30</v>
      </c>
      <c r="B109" s="43">
        <v>1</v>
      </c>
      <c r="C109" s="43">
        <v>20</v>
      </c>
    </row>
    <row r="110" spans="1:3" x14ac:dyDescent="0.3">
      <c r="A110" s="1" t="s">
        <v>662</v>
      </c>
      <c r="B110" s="43">
        <v>2</v>
      </c>
      <c r="C110" s="43">
        <v>40</v>
      </c>
    </row>
    <row r="111" spans="1:3" x14ac:dyDescent="0.3">
      <c r="A111" s="2" t="s">
        <v>30</v>
      </c>
      <c r="B111" s="43">
        <v>2</v>
      </c>
      <c r="C111" s="43">
        <v>40</v>
      </c>
    </row>
    <row r="112" spans="1:3" x14ac:dyDescent="0.3">
      <c r="A112" s="1" t="s">
        <v>663</v>
      </c>
      <c r="B112" s="43">
        <v>9</v>
      </c>
      <c r="C112" s="43">
        <v>120</v>
      </c>
    </row>
    <row r="113" spans="1:3" x14ac:dyDescent="0.3">
      <c r="A113" s="2" t="s">
        <v>19</v>
      </c>
      <c r="B113" s="43">
        <v>3</v>
      </c>
      <c r="C113" s="43">
        <v>0</v>
      </c>
    </row>
    <row r="114" spans="1:3" x14ac:dyDescent="0.3">
      <c r="A114" s="2" t="s">
        <v>30</v>
      </c>
      <c r="B114" s="43">
        <v>6</v>
      </c>
      <c r="C114" s="43">
        <v>120</v>
      </c>
    </row>
    <row r="115" spans="1:3" x14ac:dyDescent="0.3">
      <c r="A115" s="1" t="s">
        <v>366</v>
      </c>
      <c r="B115" s="43">
        <v>2</v>
      </c>
      <c r="C115" s="43">
        <v>0</v>
      </c>
    </row>
    <row r="116" spans="1:3" x14ac:dyDescent="0.3">
      <c r="A116" s="2" t="s">
        <v>19</v>
      </c>
      <c r="B116" s="43">
        <v>2</v>
      </c>
      <c r="C116" s="43">
        <v>0</v>
      </c>
    </row>
    <row r="117" spans="1:3" x14ac:dyDescent="0.3">
      <c r="A117" s="1" t="s">
        <v>666</v>
      </c>
      <c r="B117" s="43">
        <v>1</v>
      </c>
      <c r="C117" s="43">
        <v>20</v>
      </c>
    </row>
    <row r="118" spans="1:3" x14ac:dyDescent="0.3">
      <c r="A118" s="2" t="s">
        <v>30</v>
      </c>
      <c r="B118" s="43">
        <v>1</v>
      </c>
      <c r="C118" s="43">
        <v>20</v>
      </c>
    </row>
    <row r="119" spans="1:3" x14ac:dyDescent="0.3">
      <c r="A119" s="1" t="s">
        <v>635</v>
      </c>
      <c r="B119" s="43">
        <v>2</v>
      </c>
      <c r="C119" s="43">
        <v>0</v>
      </c>
    </row>
    <row r="120" spans="1:3" x14ac:dyDescent="0.3">
      <c r="A120" s="2" t="s">
        <v>19</v>
      </c>
      <c r="B120" s="43">
        <v>2</v>
      </c>
      <c r="C120" s="43">
        <v>0</v>
      </c>
    </row>
    <row r="121" spans="1:3" x14ac:dyDescent="0.3">
      <c r="A121" s="1" t="s">
        <v>612</v>
      </c>
      <c r="B121" s="43">
        <v>1</v>
      </c>
      <c r="C121" s="43">
        <v>0</v>
      </c>
    </row>
    <row r="122" spans="1:3" x14ac:dyDescent="0.3">
      <c r="A122" s="2" t="s">
        <v>19</v>
      </c>
      <c r="B122" s="43">
        <v>1</v>
      </c>
      <c r="C122" s="43">
        <v>0</v>
      </c>
    </row>
    <row r="123" spans="1:3" x14ac:dyDescent="0.3">
      <c r="A123" s="1" t="s">
        <v>707</v>
      </c>
      <c r="B123" s="43">
        <v>2</v>
      </c>
      <c r="C123" s="43">
        <v>40</v>
      </c>
    </row>
    <row r="124" spans="1:3" x14ac:dyDescent="0.3">
      <c r="A124" s="2" t="s">
        <v>30</v>
      </c>
      <c r="B124" s="43">
        <v>2</v>
      </c>
      <c r="C124" s="43">
        <v>40</v>
      </c>
    </row>
    <row r="125" spans="1:3" x14ac:dyDescent="0.3">
      <c r="A125" s="1" t="s">
        <v>704</v>
      </c>
      <c r="B125" s="43">
        <v>1</v>
      </c>
      <c r="C125" s="43">
        <v>0</v>
      </c>
    </row>
    <row r="126" spans="1:3" x14ac:dyDescent="0.3">
      <c r="A126" s="2" t="s">
        <v>19</v>
      </c>
      <c r="B126" s="43">
        <v>1</v>
      </c>
      <c r="C126" s="43">
        <v>0</v>
      </c>
    </row>
    <row r="127" spans="1:3" x14ac:dyDescent="0.3">
      <c r="A127" s="1" t="s">
        <v>721</v>
      </c>
      <c r="B127" s="43">
        <v>5</v>
      </c>
      <c r="C127" s="43">
        <v>60</v>
      </c>
    </row>
    <row r="128" spans="1:3" x14ac:dyDescent="0.3">
      <c r="A128" s="2" t="s">
        <v>19</v>
      </c>
      <c r="B128" s="43">
        <v>2</v>
      </c>
      <c r="C128" s="43">
        <v>0</v>
      </c>
    </row>
    <row r="129" spans="1:3" x14ac:dyDescent="0.3">
      <c r="A129" s="2" t="s">
        <v>30</v>
      </c>
      <c r="B129" s="43">
        <v>3</v>
      </c>
      <c r="C129" s="43">
        <v>60</v>
      </c>
    </row>
    <row r="130" spans="1:3" x14ac:dyDescent="0.3">
      <c r="A130" s="1" t="s">
        <v>714</v>
      </c>
      <c r="B130" s="43">
        <v>2</v>
      </c>
      <c r="C130" s="43">
        <v>22</v>
      </c>
    </row>
    <row r="131" spans="1:3" x14ac:dyDescent="0.3">
      <c r="A131" s="2" t="s">
        <v>19</v>
      </c>
      <c r="B131" s="43">
        <v>1</v>
      </c>
      <c r="C131" s="43">
        <v>0</v>
      </c>
    </row>
    <row r="132" spans="1:3" x14ac:dyDescent="0.3">
      <c r="A132" s="2" t="s">
        <v>33</v>
      </c>
      <c r="B132" s="43">
        <v>1</v>
      </c>
      <c r="C132" s="43">
        <v>22</v>
      </c>
    </row>
    <row r="133" spans="1:3" x14ac:dyDescent="0.3">
      <c r="A133" s="1" t="s">
        <v>274</v>
      </c>
      <c r="B133" s="43">
        <v>1</v>
      </c>
      <c r="C133" s="43">
        <v>20</v>
      </c>
    </row>
    <row r="134" spans="1:3" x14ac:dyDescent="0.3">
      <c r="A134" s="2" t="s">
        <v>30</v>
      </c>
      <c r="B134" s="43">
        <v>1</v>
      </c>
      <c r="C134" s="43">
        <v>20</v>
      </c>
    </row>
    <row r="135" spans="1:3" x14ac:dyDescent="0.3">
      <c r="A135" s="1" t="s">
        <v>743</v>
      </c>
      <c r="B135" s="43">
        <v>1</v>
      </c>
      <c r="C135" s="43">
        <v>0</v>
      </c>
    </row>
    <row r="136" spans="1:3" x14ac:dyDescent="0.3">
      <c r="A136" s="2" t="s">
        <v>19</v>
      </c>
      <c r="B136" s="43">
        <v>1</v>
      </c>
      <c r="C136" s="43">
        <v>0</v>
      </c>
    </row>
    <row r="137" spans="1:3" x14ac:dyDescent="0.3">
      <c r="A137" s="1" t="s">
        <v>724</v>
      </c>
      <c r="B137" s="43">
        <v>2</v>
      </c>
      <c r="C137" s="43">
        <v>20</v>
      </c>
    </row>
    <row r="138" spans="1:3" x14ac:dyDescent="0.3">
      <c r="A138" s="2" t="s">
        <v>19</v>
      </c>
      <c r="B138" s="43">
        <v>1</v>
      </c>
      <c r="C138" s="43">
        <v>0</v>
      </c>
    </row>
    <row r="139" spans="1:3" x14ac:dyDescent="0.3">
      <c r="A139" s="2" t="s">
        <v>30</v>
      </c>
      <c r="B139" s="43">
        <v>1</v>
      </c>
      <c r="C139" s="43">
        <v>20</v>
      </c>
    </row>
    <row r="140" spans="1:3" x14ac:dyDescent="0.3">
      <c r="A140" s="1" t="s">
        <v>750</v>
      </c>
      <c r="B140" s="43">
        <v>17</v>
      </c>
      <c r="C140" s="43">
        <v>224.4</v>
      </c>
    </row>
    <row r="141" spans="1:3" x14ac:dyDescent="0.3">
      <c r="A141" s="2" t="s">
        <v>19</v>
      </c>
      <c r="B141" s="43">
        <v>6</v>
      </c>
      <c r="C141" s="43">
        <v>0</v>
      </c>
    </row>
    <row r="142" spans="1:3" x14ac:dyDescent="0.3">
      <c r="A142" s="2" t="s">
        <v>30</v>
      </c>
      <c r="B142" s="43">
        <v>10</v>
      </c>
      <c r="C142" s="43">
        <v>200</v>
      </c>
    </row>
    <row r="143" spans="1:3" x14ac:dyDescent="0.3">
      <c r="A143" s="2" t="s">
        <v>31</v>
      </c>
      <c r="B143" s="43">
        <v>1</v>
      </c>
      <c r="C143" s="43">
        <v>24.4</v>
      </c>
    </row>
    <row r="144" spans="1:3" x14ac:dyDescent="0.3">
      <c r="A144" s="1" t="s">
        <v>747</v>
      </c>
      <c r="B144" s="43">
        <v>2</v>
      </c>
      <c r="C144" s="43">
        <v>40</v>
      </c>
    </row>
    <row r="145" spans="1:3" x14ac:dyDescent="0.3">
      <c r="A145" s="2" t="s">
        <v>30</v>
      </c>
      <c r="B145" s="43">
        <v>2</v>
      </c>
      <c r="C145" s="43">
        <v>40</v>
      </c>
    </row>
    <row r="146" spans="1:3" x14ac:dyDescent="0.3">
      <c r="A146" s="1" t="s">
        <v>776</v>
      </c>
      <c r="B146" s="43">
        <v>4</v>
      </c>
      <c r="C146" s="43">
        <v>82</v>
      </c>
    </row>
    <row r="147" spans="1:3" x14ac:dyDescent="0.3">
      <c r="A147" s="2" t="s">
        <v>22</v>
      </c>
      <c r="B147" s="43">
        <v>3</v>
      </c>
      <c r="C147" s="43">
        <v>60</v>
      </c>
    </row>
    <row r="148" spans="1:3" x14ac:dyDescent="0.3">
      <c r="A148" s="2" t="s">
        <v>33</v>
      </c>
      <c r="B148" s="43">
        <v>1</v>
      </c>
      <c r="C148" s="43">
        <v>22</v>
      </c>
    </row>
    <row r="149" spans="1:3" x14ac:dyDescent="0.3">
      <c r="A149" s="1" t="s">
        <v>770</v>
      </c>
      <c r="B149" s="43">
        <v>1</v>
      </c>
      <c r="C149" s="43">
        <v>20</v>
      </c>
    </row>
    <row r="150" spans="1:3" x14ac:dyDescent="0.3">
      <c r="A150" s="2" t="s">
        <v>30</v>
      </c>
      <c r="B150" s="43">
        <v>1</v>
      </c>
      <c r="C150" s="43">
        <v>20</v>
      </c>
    </row>
    <row r="151" spans="1:3" x14ac:dyDescent="0.3">
      <c r="A151" s="1" t="s">
        <v>796</v>
      </c>
      <c r="B151" s="43">
        <v>2</v>
      </c>
      <c r="C151" s="43">
        <v>48.8</v>
      </c>
    </row>
    <row r="152" spans="1:3" x14ac:dyDescent="0.3">
      <c r="A152" s="2" t="s">
        <v>31</v>
      </c>
      <c r="B152" s="43">
        <v>2</v>
      </c>
      <c r="C152" s="43">
        <v>48.8</v>
      </c>
    </row>
    <row r="153" spans="1:3" x14ac:dyDescent="0.3">
      <c r="A153" s="1" t="s">
        <v>738</v>
      </c>
      <c r="B153" s="43">
        <v>222</v>
      </c>
      <c r="C153" s="43">
        <v>3121.2000000000003</v>
      </c>
    </row>
    <row r="154" spans="1:3" x14ac:dyDescent="0.3">
      <c r="B154"/>
      <c r="C154"/>
    </row>
    <row r="155" spans="1:3" x14ac:dyDescent="0.3">
      <c r="B155"/>
      <c r="C155"/>
    </row>
    <row r="156" spans="1:3" x14ac:dyDescent="0.3">
      <c r="B156"/>
      <c r="C156"/>
    </row>
    <row r="157" spans="1:3" x14ac:dyDescent="0.3">
      <c r="B157"/>
      <c r="C157"/>
    </row>
    <row r="158" spans="1:3" x14ac:dyDescent="0.3">
      <c r="B158"/>
      <c r="C158"/>
    </row>
    <row r="159" spans="1:3" x14ac:dyDescent="0.3">
      <c r="B159"/>
      <c r="C159"/>
    </row>
    <row r="160" spans="1:3" x14ac:dyDescent="0.3">
      <c r="B160"/>
      <c r="C160"/>
    </row>
    <row r="161" spans="2:3" x14ac:dyDescent="0.3">
      <c r="B161"/>
      <c r="C161"/>
    </row>
    <row r="162" spans="2:3" x14ac:dyDescent="0.3">
      <c r="B162"/>
      <c r="C162"/>
    </row>
    <row r="163" spans="2:3" x14ac:dyDescent="0.3">
      <c r="B163"/>
      <c r="C163"/>
    </row>
    <row r="164" spans="2:3" x14ac:dyDescent="0.3">
      <c r="B164"/>
      <c r="C164"/>
    </row>
    <row r="165" spans="2:3" x14ac:dyDescent="0.3">
      <c r="B165"/>
      <c r="C165"/>
    </row>
    <row r="166" spans="2:3" x14ac:dyDescent="0.3">
      <c r="B166"/>
      <c r="C166"/>
    </row>
    <row r="167" spans="2:3" x14ac:dyDescent="0.3">
      <c r="B167"/>
      <c r="C167"/>
    </row>
    <row r="168" spans="2:3" x14ac:dyDescent="0.3">
      <c r="B168"/>
      <c r="C168"/>
    </row>
    <row r="169" spans="2:3" x14ac:dyDescent="0.3">
      <c r="B169"/>
      <c r="C169"/>
    </row>
    <row r="170" spans="2:3" x14ac:dyDescent="0.3">
      <c r="B170"/>
      <c r="C170"/>
    </row>
    <row r="171" spans="2:3" x14ac:dyDescent="0.3">
      <c r="B171"/>
      <c r="C171"/>
    </row>
    <row r="172" spans="2:3" x14ac:dyDescent="0.3">
      <c r="B172"/>
      <c r="C172"/>
    </row>
    <row r="173" spans="2:3" x14ac:dyDescent="0.3">
      <c r="B173"/>
      <c r="C173"/>
    </row>
    <row r="174" spans="2:3" x14ac:dyDescent="0.3">
      <c r="B174"/>
      <c r="C174"/>
    </row>
    <row r="175" spans="2:3" x14ac:dyDescent="0.3">
      <c r="B175"/>
      <c r="C175"/>
    </row>
    <row r="176" spans="2:3" x14ac:dyDescent="0.3">
      <c r="B176"/>
      <c r="C176"/>
    </row>
    <row r="177" spans="2:3" x14ac:dyDescent="0.3">
      <c r="B177"/>
      <c r="C177"/>
    </row>
    <row r="178" spans="2:3" x14ac:dyDescent="0.3">
      <c r="B178"/>
      <c r="C178"/>
    </row>
    <row r="179" spans="2:3" x14ac:dyDescent="0.3">
      <c r="B179"/>
      <c r="C179"/>
    </row>
    <row r="180" spans="2:3" x14ac:dyDescent="0.3">
      <c r="B180"/>
      <c r="C180"/>
    </row>
    <row r="181" spans="2:3" x14ac:dyDescent="0.3">
      <c r="B181"/>
      <c r="C181"/>
    </row>
    <row r="182" spans="2:3" x14ac:dyDescent="0.3">
      <c r="B182"/>
      <c r="C182"/>
    </row>
    <row r="183" spans="2:3" x14ac:dyDescent="0.3">
      <c r="B183"/>
      <c r="C183"/>
    </row>
    <row r="184" spans="2:3" x14ac:dyDescent="0.3">
      <c r="B184"/>
      <c r="C184"/>
    </row>
    <row r="185" spans="2:3" x14ac:dyDescent="0.3">
      <c r="B185"/>
      <c r="C185"/>
    </row>
    <row r="186" spans="2:3" x14ac:dyDescent="0.3">
      <c r="B186"/>
      <c r="C186"/>
    </row>
    <row r="187" spans="2:3" x14ac:dyDescent="0.3">
      <c r="B187"/>
      <c r="C187"/>
    </row>
    <row r="188" spans="2:3" x14ac:dyDescent="0.3">
      <c r="B188"/>
      <c r="C188"/>
    </row>
    <row r="189" spans="2:3" x14ac:dyDescent="0.3">
      <c r="B189"/>
      <c r="C189"/>
    </row>
    <row r="190" spans="2:3" x14ac:dyDescent="0.3">
      <c r="B190"/>
      <c r="C190"/>
    </row>
    <row r="191" spans="2:3" x14ac:dyDescent="0.3">
      <c r="B191"/>
      <c r="C191"/>
    </row>
    <row r="192" spans="2:3" x14ac:dyDescent="0.3">
      <c r="B192"/>
      <c r="C192"/>
    </row>
    <row r="193" spans="2:3" x14ac:dyDescent="0.3">
      <c r="B193"/>
      <c r="C193"/>
    </row>
    <row r="194" spans="2:3" x14ac:dyDescent="0.3">
      <c r="B194"/>
      <c r="C194"/>
    </row>
    <row r="195" spans="2:3" x14ac:dyDescent="0.3">
      <c r="B195"/>
      <c r="C195"/>
    </row>
    <row r="196" spans="2:3" x14ac:dyDescent="0.3">
      <c r="B196"/>
      <c r="C196"/>
    </row>
    <row r="197" spans="2:3" x14ac:dyDescent="0.3">
      <c r="B197"/>
      <c r="C197"/>
    </row>
    <row r="198" spans="2:3" x14ac:dyDescent="0.3">
      <c r="B198"/>
      <c r="C198"/>
    </row>
    <row r="199" spans="2:3" x14ac:dyDescent="0.3">
      <c r="B199"/>
      <c r="C199"/>
    </row>
    <row r="200" spans="2:3" x14ac:dyDescent="0.3">
      <c r="B200"/>
      <c r="C200"/>
    </row>
    <row r="201" spans="2:3" x14ac:dyDescent="0.3">
      <c r="B201"/>
      <c r="C201"/>
    </row>
    <row r="202" spans="2:3" x14ac:dyDescent="0.3">
      <c r="B202"/>
      <c r="C202"/>
    </row>
    <row r="203" spans="2:3" x14ac:dyDescent="0.3">
      <c r="B203"/>
      <c r="C203"/>
    </row>
    <row r="204" spans="2:3" x14ac:dyDescent="0.3">
      <c r="B204"/>
      <c r="C204"/>
    </row>
    <row r="205" spans="2:3" x14ac:dyDescent="0.3">
      <c r="B205"/>
      <c r="C205"/>
    </row>
    <row r="206" spans="2:3" x14ac:dyDescent="0.3">
      <c r="B206"/>
      <c r="C206"/>
    </row>
    <row r="207" spans="2:3" x14ac:dyDescent="0.3">
      <c r="B207"/>
      <c r="C207"/>
    </row>
    <row r="208" spans="2:3" x14ac:dyDescent="0.3">
      <c r="B208"/>
      <c r="C208"/>
    </row>
    <row r="209" spans="2:3" x14ac:dyDescent="0.3">
      <c r="B209"/>
      <c r="C209"/>
    </row>
    <row r="210" spans="2:3" x14ac:dyDescent="0.3">
      <c r="B210"/>
      <c r="C210"/>
    </row>
    <row r="211" spans="2:3" x14ac:dyDescent="0.3">
      <c r="B211"/>
      <c r="C211"/>
    </row>
    <row r="212" spans="2:3" x14ac:dyDescent="0.3">
      <c r="B212"/>
      <c r="C212"/>
    </row>
    <row r="213" spans="2:3" x14ac:dyDescent="0.3">
      <c r="B213"/>
      <c r="C213"/>
    </row>
    <row r="214" spans="2:3" x14ac:dyDescent="0.3">
      <c r="B214"/>
      <c r="C214"/>
    </row>
    <row r="215" spans="2:3" x14ac:dyDescent="0.3">
      <c r="B215"/>
      <c r="C215"/>
    </row>
    <row r="216" spans="2:3" x14ac:dyDescent="0.3">
      <c r="B216"/>
      <c r="C216"/>
    </row>
    <row r="217" spans="2:3" x14ac:dyDescent="0.3">
      <c r="B217"/>
      <c r="C217"/>
    </row>
    <row r="218" spans="2:3" x14ac:dyDescent="0.3">
      <c r="B218"/>
      <c r="C218"/>
    </row>
    <row r="219" spans="2:3" x14ac:dyDescent="0.3">
      <c r="B219"/>
      <c r="C219"/>
    </row>
    <row r="220" spans="2:3" x14ac:dyDescent="0.3">
      <c r="B220"/>
      <c r="C220"/>
    </row>
    <row r="221" spans="2:3" x14ac:dyDescent="0.3">
      <c r="B221"/>
      <c r="C221"/>
    </row>
    <row r="222" spans="2:3" x14ac:dyDescent="0.3">
      <c r="B222"/>
      <c r="C222"/>
    </row>
    <row r="223" spans="2:3" x14ac:dyDescent="0.3">
      <c r="B223"/>
      <c r="C223"/>
    </row>
    <row r="224" spans="2:3" x14ac:dyDescent="0.3">
      <c r="B224"/>
      <c r="C224"/>
    </row>
    <row r="225" spans="2:3" x14ac:dyDescent="0.3">
      <c r="B225"/>
      <c r="C225"/>
    </row>
    <row r="226" spans="2:3" x14ac:dyDescent="0.3">
      <c r="B226"/>
      <c r="C226"/>
    </row>
    <row r="227" spans="2:3" x14ac:dyDescent="0.3">
      <c r="B227"/>
      <c r="C227"/>
    </row>
    <row r="228" spans="2:3" x14ac:dyDescent="0.3">
      <c r="B228"/>
      <c r="C228"/>
    </row>
    <row r="229" spans="2:3" x14ac:dyDescent="0.3">
      <c r="B229"/>
      <c r="C229"/>
    </row>
    <row r="230" spans="2:3" x14ac:dyDescent="0.3">
      <c r="B230"/>
      <c r="C230"/>
    </row>
    <row r="231" spans="2:3" x14ac:dyDescent="0.3">
      <c r="B231"/>
      <c r="C231"/>
    </row>
    <row r="232" spans="2:3" x14ac:dyDescent="0.3">
      <c r="B232"/>
      <c r="C232"/>
    </row>
    <row r="233" spans="2:3" x14ac:dyDescent="0.3">
      <c r="B233"/>
      <c r="C233"/>
    </row>
    <row r="234" spans="2:3" x14ac:dyDescent="0.3">
      <c r="B234"/>
      <c r="C234"/>
    </row>
    <row r="235" spans="2:3" x14ac:dyDescent="0.3">
      <c r="B235"/>
      <c r="C235"/>
    </row>
    <row r="236" spans="2:3" x14ac:dyDescent="0.3">
      <c r="B236"/>
      <c r="C236"/>
    </row>
    <row r="237" spans="2:3" x14ac:dyDescent="0.3">
      <c r="B237"/>
      <c r="C237"/>
    </row>
    <row r="238" spans="2:3" x14ac:dyDescent="0.3">
      <c r="B238"/>
      <c r="C238"/>
    </row>
    <row r="239" spans="2:3" x14ac:dyDescent="0.3">
      <c r="B239"/>
      <c r="C239"/>
    </row>
    <row r="240" spans="2:3" x14ac:dyDescent="0.3">
      <c r="B240"/>
      <c r="C240"/>
    </row>
    <row r="241" spans="2:3" x14ac:dyDescent="0.3">
      <c r="B241"/>
      <c r="C241"/>
    </row>
    <row r="242" spans="2:3" x14ac:dyDescent="0.3">
      <c r="B242"/>
      <c r="C242"/>
    </row>
    <row r="243" spans="2:3" x14ac:dyDescent="0.3">
      <c r="B243"/>
      <c r="C243"/>
    </row>
    <row r="244" spans="2:3" x14ac:dyDescent="0.3">
      <c r="B244"/>
      <c r="C244"/>
    </row>
    <row r="245" spans="2:3" x14ac:dyDescent="0.3">
      <c r="B245"/>
      <c r="C245"/>
    </row>
    <row r="246" spans="2:3" x14ac:dyDescent="0.3">
      <c r="B246"/>
      <c r="C246"/>
    </row>
    <row r="247" spans="2:3" x14ac:dyDescent="0.3">
      <c r="B247"/>
      <c r="C247"/>
    </row>
    <row r="248" spans="2:3" x14ac:dyDescent="0.3">
      <c r="B248"/>
      <c r="C248"/>
    </row>
    <row r="249" spans="2:3" x14ac:dyDescent="0.3">
      <c r="B249"/>
      <c r="C249"/>
    </row>
    <row r="250" spans="2:3" x14ac:dyDescent="0.3">
      <c r="B250"/>
      <c r="C250"/>
    </row>
    <row r="251" spans="2:3" x14ac:dyDescent="0.3">
      <c r="B251"/>
      <c r="C251"/>
    </row>
    <row r="252" spans="2:3" x14ac:dyDescent="0.3">
      <c r="B252"/>
      <c r="C252"/>
    </row>
    <row r="253" spans="2:3" x14ac:dyDescent="0.3">
      <c r="B253"/>
      <c r="C253"/>
    </row>
    <row r="254" spans="2:3" x14ac:dyDescent="0.3">
      <c r="B254"/>
      <c r="C254"/>
    </row>
    <row r="255" spans="2:3" x14ac:dyDescent="0.3">
      <c r="B255"/>
      <c r="C255"/>
    </row>
    <row r="256" spans="2:3" x14ac:dyDescent="0.3">
      <c r="B256"/>
      <c r="C256"/>
    </row>
    <row r="257" spans="2:3" x14ac:dyDescent="0.3">
      <c r="B257"/>
      <c r="C257"/>
    </row>
    <row r="258" spans="2:3" x14ac:dyDescent="0.3">
      <c r="B258"/>
      <c r="C258"/>
    </row>
    <row r="259" spans="2:3" x14ac:dyDescent="0.3">
      <c r="B259"/>
      <c r="C259"/>
    </row>
    <row r="260" spans="2:3" x14ac:dyDescent="0.3">
      <c r="B260"/>
      <c r="C260"/>
    </row>
    <row r="261" spans="2:3" x14ac:dyDescent="0.3">
      <c r="B261"/>
      <c r="C261"/>
    </row>
    <row r="262" spans="2:3" x14ac:dyDescent="0.3">
      <c r="B262"/>
      <c r="C262"/>
    </row>
    <row r="263" spans="2:3" x14ac:dyDescent="0.3">
      <c r="B263"/>
      <c r="C263"/>
    </row>
    <row r="264" spans="2:3" x14ac:dyDescent="0.3">
      <c r="B264"/>
      <c r="C264"/>
    </row>
    <row r="265" spans="2:3" x14ac:dyDescent="0.3">
      <c r="B265"/>
      <c r="C265"/>
    </row>
    <row r="266" spans="2:3" x14ac:dyDescent="0.3">
      <c r="B266"/>
      <c r="C266"/>
    </row>
    <row r="267" spans="2:3" x14ac:dyDescent="0.3">
      <c r="B267"/>
      <c r="C267"/>
    </row>
    <row r="268" spans="2:3" x14ac:dyDescent="0.3">
      <c r="B268"/>
      <c r="C268"/>
    </row>
    <row r="269" spans="2:3" x14ac:dyDescent="0.3">
      <c r="B269"/>
      <c r="C269"/>
    </row>
    <row r="270" spans="2:3" x14ac:dyDescent="0.3">
      <c r="B270"/>
      <c r="C270"/>
    </row>
    <row r="271" spans="2:3" x14ac:dyDescent="0.3">
      <c r="B271"/>
      <c r="C271"/>
    </row>
    <row r="272" spans="2:3" x14ac:dyDescent="0.3">
      <c r="B272"/>
      <c r="C272"/>
    </row>
    <row r="273" spans="2:3" x14ac:dyDescent="0.3">
      <c r="B273"/>
      <c r="C273"/>
    </row>
    <row r="274" spans="2:3" x14ac:dyDescent="0.3">
      <c r="B274"/>
      <c r="C274"/>
    </row>
    <row r="275" spans="2:3" x14ac:dyDescent="0.3">
      <c r="B275"/>
      <c r="C275"/>
    </row>
    <row r="276" spans="2:3" x14ac:dyDescent="0.3">
      <c r="B276"/>
      <c r="C276"/>
    </row>
    <row r="277" spans="2:3" x14ac:dyDescent="0.3">
      <c r="B277"/>
      <c r="C277"/>
    </row>
    <row r="278" spans="2:3" x14ac:dyDescent="0.3">
      <c r="B278"/>
      <c r="C278"/>
    </row>
    <row r="279" spans="2:3" x14ac:dyDescent="0.3">
      <c r="B279"/>
      <c r="C279"/>
    </row>
    <row r="280" spans="2:3" x14ac:dyDescent="0.3">
      <c r="B280"/>
      <c r="C280"/>
    </row>
    <row r="281" spans="2:3" x14ac:dyDescent="0.3">
      <c r="B281"/>
      <c r="C281"/>
    </row>
    <row r="282" spans="2:3" x14ac:dyDescent="0.3">
      <c r="B282"/>
      <c r="C282"/>
    </row>
    <row r="283" spans="2:3" x14ac:dyDescent="0.3">
      <c r="B283"/>
      <c r="C283"/>
    </row>
    <row r="284" spans="2:3" x14ac:dyDescent="0.3">
      <c r="B284"/>
      <c r="C284"/>
    </row>
    <row r="285" spans="2:3" x14ac:dyDescent="0.3">
      <c r="B285"/>
      <c r="C285"/>
    </row>
    <row r="286" spans="2:3" x14ac:dyDescent="0.3">
      <c r="B286"/>
      <c r="C286"/>
    </row>
    <row r="287" spans="2:3" x14ac:dyDescent="0.3">
      <c r="B287"/>
      <c r="C287"/>
    </row>
    <row r="288" spans="2:3" x14ac:dyDescent="0.3">
      <c r="B288"/>
      <c r="C288"/>
    </row>
    <row r="289" spans="2:3" x14ac:dyDescent="0.3">
      <c r="B289"/>
      <c r="C289"/>
    </row>
    <row r="290" spans="2:3" x14ac:dyDescent="0.3">
      <c r="B290"/>
      <c r="C290"/>
    </row>
    <row r="291" spans="2:3" x14ac:dyDescent="0.3">
      <c r="B291"/>
      <c r="C291"/>
    </row>
    <row r="292" spans="2:3" x14ac:dyDescent="0.3">
      <c r="B292"/>
      <c r="C292"/>
    </row>
    <row r="293" spans="2:3" x14ac:dyDescent="0.3">
      <c r="B293"/>
      <c r="C293"/>
    </row>
    <row r="294" spans="2:3" x14ac:dyDescent="0.3">
      <c r="B294"/>
      <c r="C294"/>
    </row>
    <row r="295" spans="2:3" x14ac:dyDescent="0.3">
      <c r="B295"/>
      <c r="C295"/>
    </row>
    <row r="296" spans="2:3" x14ac:dyDescent="0.3">
      <c r="B296"/>
      <c r="C296"/>
    </row>
    <row r="297" spans="2:3" x14ac:dyDescent="0.3">
      <c r="B297"/>
      <c r="C297"/>
    </row>
    <row r="298" spans="2:3" x14ac:dyDescent="0.3">
      <c r="B298"/>
      <c r="C298"/>
    </row>
    <row r="299" spans="2:3" x14ac:dyDescent="0.3">
      <c r="B299"/>
      <c r="C299"/>
    </row>
    <row r="300" spans="2:3" x14ac:dyDescent="0.3">
      <c r="B300"/>
      <c r="C300"/>
    </row>
    <row r="301" spans="2:3" x14ac:dyDescent="0.3">
      <c r="B301"/>
      <c r="C301"/>
    </row>
    <row r="302" spans="2:3" x14ac:dyDescent="0.3">
      <c r="B302"/>
      <c r="C302"/>
    </row>
    <row r="303" spans="2:3" x14ac:dyDescent="0.3">
      <c r="B303"/>
      <c r="C303"/>
    </row>
    <row r="304" spans="2:3" x14ac:dyDescent="0.3">
      <c r="B304"/>
      <c r="C304"/>
    </row>
    <row r="305" spans="2:3" x14ac:dyDescent="0.3">
      <c r="B305"/>
      <c r="C305"/>
    </row>
    <row r="306" spans="2:3" x14ac:dyDescent="0.3">
      <c r="B306"/>
      <c r="C306"/>
    </row>
    <row r="307" spans="2:3" x14ac:dyDescent="0.3">
      <c r="B307"/>
      <c r="C307"/>
    </row>
    <row r="308" spans="2:3" x14ac:dyDescent="0.3">
      <c r="B308"/>
      <c r="C308"/>
    </row>
    <row r="309" spans="2:3" x14ac:dyDescent="0.3">
      <c r="B309"/>
      <c r="C309"/>
    </row>
    <row r="310" spans="2:3" x14ac:dyDescent="0.3">
      <c r="B310"/>
      <c r="C310"/>
    </row>
    <row r="311" spans="2:3" x14ac:dyDescent="0.3">
      <c r="B311"/>
      <c r="C311"/>
    </row>
    <row r="312" spans="2:3" x14ac:dyDescent="0.3">
      <c r="B312"/>
      <c r="C312"/>
    </row>
    <row r="313" spans="2:3" x14ac:dyDescent="0.3">
      <c r="B313"/>
      <c r="C313"/>
    </row>
    <row r="314" spans="2:3" x14ac:dyDescent="0.3">
      <c r="B314"/>
      <c r="C314"/>
    </row>
    <row r="315" spans="2:3" x14ac:dyDescent="0.3">
      <c r="B315"/>
      <c r="C315"/>
    </row>
    <row r="316" spans="2:3" x14ac:dyDescent="0.3">
      <c r="B316"/>
      <c r="C316"/>
    </row>
    <row r="317" spans="2:3" x14ac:dyDescent="0.3">
      <c r="B317"/>
      <c r="C317"/>
    </row>
    <row r="318" spans="2:3" x14ac:dyDescent="0.3">
      <c r="B318"/>
      <c r="C318"/>
    </row>
    <row r="319" spans="2:3" x14ac:dyDescent="0.3">
      <c r="B319"/>
      <c r="C319"/>
    </row>
    <row r="320" spans="2:3" x14ac:dyDescent="0.3">
      <c r="B320"/>
      <c r="C320"/>
    </row>
    <row r="321" spans="2:3" x14ac:dyDescent="0.3">
      <c r="B321"/>
      <c r="C321"/>
    </row>
    <row r="322" spans="2:3" x14ac:dyDescent="0.3">
      <c r="B322"/>
      <c r="C322"/>
    </row>
    <row r="323" spans="2:3" x14ac:dyDescent="0.3">
      <c r="B323"/>
      <c r="C323"/>
    </row>
    <row r="324" spans="2:3" x14ac:dyDescent="0.3">
      <c r="B324"/>
      <c r="C324"/>
    </row>
    <row r="325" spans="2:3" x14ac:dyDescent="0.3">
      <c r="B325"/>
      <c r="C325"/>
    </row>
    <row r="326" spans="2:3" x14ac:dyDescent="0.3">
      <c r="B326"/>
      <c r="C326"/>
    </row>
    <row r="327" spans="2:3" x14ac:dyDescent="0.3">
      <c r="B327"/>
      <c r="C327"/>
    </row>
    <row r="328" spans="2:3" x14ac:dyDescent="0.3">
      <c r="B328"/>
      <c r="C328"/>
    </row>
    <row r="329" spans="2:3" x14ac:dyDescent="0.3">
      <c r="B329"/>
      <c r="C329"/>
    </row>
    <row r="330" spans="2:3" x14ac:dyDescent="0.3">
      <c r="B330"/>
      <c r="C330"/>
    </row>
    <row r="331" spans="2:3" x14ac:dyDescent="0.3">
      <c r="B331"/>
      <c r="C331"/>
    </row>
    <row r="332" spans="2:3" x14ac:dyDescent="0.3">
      <c r="B332"/>
      <c r="C332"/>
    </row>
    <row r="333" spans="2:3" x14ac:dyDescent="0.3">
      <c r="B333"/>
      <c r="C333"/>
    </row>
    <row r="334" spans="2:3" x14ac:dyDescent="0.3">
      <c r="B334"/>
      <c r="C334"/>
    </row>
    <row r="335" spans="2:3" x14ac:dyDescent="0.3">
      <c r="B335"/>
      <c r="C335"/>
    </row>
    <row r="336" spans="2:3" x14ac:dyDescent="0.3">
      <c r="B336"/>
      <c r="C336"/>
    </row>
    <row r="337" spans="2:3" x14ac:dyDescent="0.3">
      <c r="B337"/>
      <c r="C33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05B81-6E3E-4DB3-BBBC-A5ECC919F030}">
  <sheetPr codeName="Sheet3"/>
  <dimension ref="D5:K506"/>
  <sheetViews>
    <sheetView topLeftCell="D479" zoomScaleNormal="85" workbookViewId="0">
      <selection activeCell="E506" sqref="E506"/>
    </sheetView>
  </sheetViews>
  <sheetFormatPr defaultColWidth="8.88671875" defaultRowHeight="14.4" x14ac:dyDescent="0.3"/>
  <cols>
    <col min="5" max="5" width="21.44140625" bestFit="1" customWidth="1"/>
    <col min="6" max="6" width="87" bestFit="1" customWidth="1"/>
    <col min="7" max="7" width="21.44140625" customWidth="1"/>
    <col min="8" max="8" width="42.33203125" bestFit="1" customWidth="1"/>
    <col min="9" max="9" width="42.33203125" customWidth="1"/>
    <col min="10" max="10" width="48" bestFit="1" customWidth="1"/>
  </cols>
  <sheetData>
    <row r="5" spans="5:10" x14ac:dyDescent="0.3">
      <c r="E5" s="4" t="s">
        <v>37</v>
      </c>
      <c r="F5" s="4" t="s">
        <v>38</v>
      </c>
      <c r="G5" s="4" t="s">
        <v>9</v>
      </c>
      <c r="H5" s="4" t="s">
        <v>35</v>
      </c>
      <c r="I5" s="4" t="s">
        <v>39</v>
      </c>
      <c r="J5" s="4" t="s">
        <v>36</v>
      </c>
    </row>
    <row r="6" spans="5:10" x14ac:dyDescent="0.3">
      <c r="E6" s="13" t="s">
        <v>50</v>
      </c>
      <c r="F6" s="14" t="s">
        <v>118</v>
      </c>
      <c r="G6" s="15" t="s">
        <v>118</v>
      </c>
      <c r="I6" t="s">
        <v>16</v>
      </c>
      <c r="J6" t="e">
        <f>+_xlfn.XLOOKUP(E6,#REF!,F:F,"ZERO",0,1)</f>
        <v>#REF!</v>
      </c>
    </row>
    <row r="7" spans="5:10" x14ac:dyDescent="0.3">
      <c r="E7" s="13" t="s">
        <v>134</v>
      </c>
      <c r="F7" s="13" t="s">
        <v>592</v>
      </c>
      <c r="G7" s="12" t="s">
        <v>593</v>
      </c>
      <c r="I7" t="s">
        <v>16</v>
      </c>
      <c r="J7" t="e">
        <f>+_xlfn.XLOOKUP(E7,#REF!,F:F,"ZERO",0,1)</f>
        <v>#REF!</v>
      </c>
    </row>
    <row r="8" spans="5:10" x14ac:dyDescent="0.3">
      <c r="E8" s="13" t="s">
        <v>51</v>
      </c>
      <c r="F8" s="13" t="s">
        <v>591</v>
      </c>
      <c r="G8" s="13" t="s">
        <v>599</v>
      </c>
      <c r="I8" t="s">
        <v>16</v>
      </c>
      <c r="J8" t="e">
        <f>+_xlfn.XLOOKUP(E8,#REF!,F:F,"ZERO",0,1)</f>
        <v>#REF!</v>
      </c>
    </row>
    <row r="9" spans="5:10" x14ac:dyDescent="0.3">
      <c r="E9" s="13" t="s">
        <v>114</v>
      </c>
      <c r="F9" s="16" t="s">
        <v>590</v>
      </c>
      <c r="G9" s="13" t="s">
        <v>593</v>
      </c>
      <c r="I9" t="s">
        <v>16</v>
      </c>
      <c r="J9" t="e">
        <f>+_xlfn.XLOOKUP(E9,#REF!,F:F,"ZERO",0,1)</f>
        <v>#REF!</v>
      </c>
    </row>
    <row r="10" spans="5:10" x14ac:dyDescent="0.3">
      <c r="E10" s="13" t="s">
        <v>64</v>
      </c>
      <c r="F10" s="16" t="s">
        <v>136</v>
      </c>
      <c r="G10" s="13" t="s">
        <v>593</v>
      </c>
      <c r="I10" t="s">
        <v>16</v>
      </c>
      <c r="J10" t="e">
        <f>+_xlfn.XLOOKUP(E10,#REF!,F:F,"ZERO",0,1)</f>
        <v>#REF!</v>
      </c>
    </row>
    <row r="11" spans="5:10" x14ac:dyDescent="0.3">
      <c r="E11" s="13" t="s">
        <v>98</v>
      </c>
      <c r="F11" s="13" t="s">
        <v>140</v>
      </c>
      <c r="G11" s="12" t="s">
        <v>593</v>
      </c>
      <c r="I11" t="s">
        <v>16</v>
      </c>
      <c r="J11" t="e">
        <f>+_xlfn.XLOOKUP(E11,#REF!,F:F,"ZERO",0,1)</f>
        <v>#REF!</v>
      </c>
    </row>
    <row r="12" spans="5:10" x14ac:dyDescent="0.3">
      <c r="E12" s="13" t="s">
        <v>104</v>
      </c>
      <c r="F12" s="13" t="s">
        <v>138</v>
      </c>
      <c r="G12" s="13" t="s">
        <v>599</v>
      </c>
      <c r="I12" t="s">
        <v>16</v>
      </c>
      <c r="J12" t="e">
        <f>+_xlfn.XLOOKUP(E12,#REF!,F:F,"ZERO",0,1)</f>
        <v>#REF!</v>
      </c>
    </row>
    <row r="13" spans="5:10" x14ac:dyDescent="0.3">
      <c r="E13" s="13" t="s">
        <v>72</v>
      </c>
      <c r="F13" s="13" t="s">
        <v>142</v>
      </c>
      <c r="G13" s="13" t="s">
        <v>593</v>
      </c>
      <c r="H13" s="3"/>
      <c r="I13" t="s">
        <v>16</v>
      </c>
      <c r="J13" t="e">
        <f>+_xlfn.XLOOKUP(E13,#REF!,F:F,"ZERO",0,1)</f>
        <v>#REF!</v>
      </c>
    </row>
    <row r="14" spans="5:10" x14ac:dyDescent="0.3">
      <c r="E14" s="13" t="s">
        <v>159</v>
      </c>
      <c r="F14" s="13" t="s">
        <v>589</v>
      </c>
      <c r="G14" s="13" t="s">
        <v>593</v>
      </c>
      <c r="H14" s="3"/>
      <c r="I14" t="s">
        <v>16</v>
      </c>
      <c r="J14" t="e">
        <f>+_xlfn.XLOOKUP(E14,#REF!,F:F,"ZERO",0,1)</f>
        <v>#REF!</v>
      </c>
    </row>
    <row r="15" spans="5:10" x14ac:dyDescent="0.3">
      <c r="E15" s="13" t="s">
        <v>154</v>
      </c>
      <c r="F15" s="13" t="s">
        <v>155</v>
      </c>
      <c r="G15" s="13" t="s">
        <v>631</v>
      </c>
      <c r="H15" s="3"/>
      <c r="I15" t="s">
        <v>16</v>
      </c>
      <c r="J15" t="e">
        <f>+_xlfn.XLOOKUP(E15,#REF!,F:F,"ZERO",0,1)</f>
        <v>#REF!</v>
      </c>
    </row>
    <row r="16" spans="5:10" x14ac:dyDescent="0.3">
      <c r="E16" s="13" t="s">
        <v>62</v>
      </c>
      <c r="F16" s="12" t="s">
        <v>588</v>
      </c>
      <c r="G16" s="12" t="s">
        <v>593</v>
      </c>
      <c r="I16" t="s">
        <v>16</v>
      </c>
      <c r="J16" t="e">
        <f>+_xlfn.XLOOKUP(E16,#REF!,F:F,"ZERO",0,1)</f>
        <v>#REF!</v>
      </c>
    </row>
    <row r="17" spans="5:10" x14ac:dyDescent="0.3">
      <c r="E17" s="13" t="s">
        <v>122</v>
      </c>
      <c r="F17" s="13" t="s">
        <v>121</v>
      </c>
      <c r="G17" s="13" t="s">
        <v>599</v>
      </c>
      <c r="I17" t="s">
        <v>16</v>
      </c>
      <c r="J17" t="e">
        <f>+_xlfn.XLOOKUP(E17,#REF!,F:F,"ZERO",0,1)</f>
        <v>#REF!</v>
      </c>
    </row>
    <row r="18" spans="5:10" x14ac:dyDescent="0.3">
      <c r="E18" s="13" t="s">
        <v>90</v>
      </c>
      <c r="F18" s="13" t="s">
        <v>157</v>
      </c>
      <c r="G18" s="13" t="s">
        <v>593</v>
      </c>
      <c r="I18" t="s">
        <v>16</v>
      </c>
      <c r="J18" t="e">
        <f>+_xlfn.XLOOKUP(E18,#REF!,F:F,"ZERO",0,1)</f>
        <v>#REF!</v>
      </c>
    </row>
    <row r="19" spans="5:10" x14ac:dyDescent="0.3">
      <c r="E19" s="13" t="s">
        <v>148</v>
      </c>
      <c r="F19" s="13" t="s">
        <v>587</v>
      </c>
      <c r="G19" t="s">
        <v>594</v>
      </c>
      <c r="H19" t="s">
        <v>606</v>
      </c>
      <c r="I19" t="s">
        <v>12</v>
      </c>
      <c r="J19" t="e">
        <f>+_xlfn.XLOOKUP(E19,#REF!,F:F,"ZERO",0,1)</f>
        <v>#REF!</v>
      </c>
    </row>
    <row r="20" spans="5:10" x14ac:dyDescent="0.3">
      <c r="E20" s="13" t="s">
        <v>585</v>
      </c>
      <c r="F20" s="13" t="s">
        <v>586</v>
      </c>
      <c r="G20" s="13" t="s">
        <v>594</v>
      </c>
      <c r="H20" t="s">
        <v>606</v>
      </c>
      <c r="I20" t="s">
        <v>12</v>
      </c>
      <c r="J20" t="e">
        <f>+_xlfn.XLOOKUP(E20,#REF!,F:F,"ZERO",0,1)</f>
        <v>#REF!</v>
      </c>
    </row>
    <row r="21" spans="5:10" x14ac:dyDescent="0.3">
      <c r="E21" s="13" t="s">
        <v>55</v>
      </c>
      <c r="F21" s="13" t="s">
        <v>145</v>
      </c>
      <c r="G21" s="13" t="s">
        <v>594</v>
      </c>
      <c r="I21" t="s">
        <v>16</v>
      </c>
      <c r="J21" t="e">
        <f>+_xlfn.XLOOKUP(E21,#REF!,F:F,"ZERO",0,1)</f>
        <v>#REF!</v>
      </c>
    </row>
    <row r="22" spans="5:10" x14ac:dyDescent="0.3">
      <c r="E22" s="13" t="s">
        <v>149</v>
      </c>
      <c r="F22" s="13" t="s">
        <v>150</v>
      </c>
      <c r="G22" s="13" t="s">
        <v>594</v>
      </c>
      <c r="H22" s="3" t="s">
        <v>606</v>
      </c>
      <c r="I22" t="s">
        <v>16</v>
      </c>
      <c r="J22" t="e">
        <f>+_xlfn.XLOOKUP(E22,#REF!,F:F,"ZERO",0,1)</f>
        <v>#REF!</v>
      </c>
    </row>
    <row r="23" spans="5:10" x14ac:dyDescent="0.3">
      <c r="E23" s="13" t="s">
        <v>75</v>
      </c>
      <c r="F23" s="13" t="s">
        <v>583</v>
      </c>
      <c r="G23" s="13" t="s">
        <v>593</v>
      </c>
      <c r="I23" t="s">
        <v>16</v>
      </c>
      <c r="J23" t="e">
        <f>+_xlfn.XLOOKUP(E23,#REF!,F:F,"ZERO",0,1)</f>
        <v>#REF!</v>
      </c>
    </row>
    <row r="24" spans="5:10" x14ac:dyDescent="0.3">
      <c r="E24" s="13" t="s">
        <v>80</v>
      </c>
      <c r="F24" s="13" t="s">
        <v>132</v>
      </c>
      <c r="G24" s="13" t="s">
        <v>593</v>
      </c>
      <c r="H24" s="3"/>
      <c r="I24" t="s">
        <v>16</v>
      </c>
      <c r="J24" t="e">
        <f>+_xlfn.XLOOKUP(E24,#REF!,F:F,"ZERO",0,1)</f>
        <v>#REF!</v>
      </c>
    </row>
    <row r="25" spans="5:10" x14ac:dyDescent="0.3">
      <c r="E25" s="13" t="s">
        <v>71</v>
      </c>
      <c r="F25" s="13" t="s">
        <v>152</v>
      </c>
      <c r="G25" s="12" t="s">
        <v>593</v>
      </c>
      <c r="I25" t="s">
        <v>16</v>
      </c>
      <c r="J25" t="e">
        <f>+_xlfn.XLOOKUP(E25,#REF!,F:F,"ZERO",0,1)</f>
        <v>#REF!</v>
      </c>
    </row>
    <row r="26" spans="5:10" x14ac:dyDescent="0.3">
      <c r="E26" s="13" t="s">
        <v>123</v>
      </c>
      <c r="F26" s="13" t="s">
        <v>124</v>
      </c>
      <c r="G26" s="13" t="s">
        <v>599</v>
      </c>
      <c r="I26" t="s">
        <v>12</v>
      </c>
      <c r="J26" t="e">
        <f>+_xlfn.XLOOKUP(E26,#REF!,F:F,"ZERO",0,1)</f>
        <v>#REF!</v>
      </c>
    </row>
    <row r="27" spans="5:10" x14ac:dyDescent="0.3">
      <c r="E27" s="13" t="s">
        <v>60</v>
      </c>
      <c r="F27" s="13" t="s">
        <v>153</v>
      </c>
      <c r="G27" s="13" t="s">
        <v>593</v>
      </c>
      <c r="H27" s="3"/>
      <c r="I27" t="s">
        <v>16</v>
      </c>
      <c r="J27" t="e">
        <f>+_xlfn.XLOOKUP(E27,#REF!,F:F,"ZERO",0,1)</f>
        <v>#REF!</v>
      </c>
    </row>
    <row r="28" spans="5:10" x14ac:dyDescent="0.3">
      <c r="E28" s="13" t="s">
        <v>165</v>
      </c>
      <c r="F28" s="13" t="s">
        <v>164</v>
      </c>
      <c r="G28" s="13" t="s">
        <v>594</v>
      </c>
      <c r="H28" t="s">
        <v>606</v>
      </c>
      <c r="I28" t="s">
        <v>16</v>
      </c>
      <c r="J28" t="e">
        <f>+_xlfn.XLOOKUP(E28,#REF!,F:F,"ZERO",0,1)</f>
        <v>#REF!</v>
      </c>
    </row>
    <row r="29" spans="5:10" x14ac:dyDescent="0.3">
      <c r="E29" s="13" t="s">
        <v>163</v>
      </c>
      <c r="F29" s="13" t="s">
        <v>162</v>
      </c>
      <c r="G29" s="13" t="s">
        <v>594</v>
      </c>
      <c r="I29" t="s">
        <v>12</v>
      </c>
      <c r="J29" t="e">
        <f>+_xlfn.XLOOKUP(E29,#REF!,F:F,"ZERO",0,1)</f>
        <v>#REF!</v>
      </c>
    </row>
    <row r="30" spans="5:10" x14ac:dyDescent="0.3">
      <c r="E30" s="13" t="s">
        <v>57</v>
      </c>
      <c r="F30" s="13" t="s">
        <v>581</v>
      </c>
      <c r="G30" s="12" t="s">
        <v>593</v>
      </c>
      <c r="H30" s="3"/>
      <c r="I30" t="s">
        <v>16</v>
      </c>
      <c r="J30" t="e">
        <f>+_xlfn.XLOOKUP(E30,#REF!,F:F,"ZERO",0,1)</f>
        <v>#REF!</v>
      </c>
    </row>
    <row r="31" spans="5:10" x14ac:dyDescent="0.3">
      <c r="E31" s="13" t="s">
        <v>171</v>
      </c>
      <c r="F31" s="16" t="s">
        <v>170</v>
      </c>
      <c r="G31" s="13" t="s">
        <v>599</v>
      </c>
      <c r="H31" s="3"/>
      <c r="I31" t="s">
        <v>16</v>
      </c>
      <c r="J31" t="e">
        <f>+_xlfn.XLOOKUP(E31,#REF!,F:F,"ZERO",0,1)</f>
        <v>#REF!</v>
      </c>
    </row>
    <row r="32" spans="5:10" x14ac:dyDescent="0.3">
      <c r="E32" s="13" t="s">
        <v>168</v>
      </c>
      <c r="F32" s="13" t="s">
        <v>580</v>
      </c>
      <c r="G32" s="13" t="s">
        <v>594</v>
      </c>
      <c r="H32" s="3"/>
      <c r="I32" t="s">
        <v>16</v>
      </c>
      <c r="J32" t="e">
        <f>+_xlfn.XLOOKUP(E32,#REF!,F:F,"ZERO",0,1)</f>
        <v>#REF!</v>
      </c>
    </row>
    <row r="33" spans="5:10" x14ac:dyDescent="0.3">
      <c r="E33" s="13" t="s">
        <v>174</v>
      </c>
      <c r="F33" s="13" t="s">
        <v>173</v>
      </c>
      <c r="G33" s="13" t="s">
        <v>594</v>
      </c>
      <c r="H33" s="3" t="s">
        <v>606</v>
      </c>
      <c r="I33" t="s">
        <v>16</v>
      </c>
      <c r="J33" t="e">
        <f>+_xlfn.XLOOKUP(E33,#REF!,F:F,"ZERO",0,1)</f>
        <v>#REF!</v>
      </c>
    </row>
    <row r="34" spans="5:10" x14ac:dyDescent="0.3">
      <c r="E34" s="13" t="s">
        <v>182</v>
      </c>
      <c r="F34" s="13" t="s">
        <v>579</v>
      </c>
      <c r="G34" s="13" t="s">
        <v>594</v>
      </c>
      <c r="I34" t="s">
        <v>16</v>
      </c>
      <c r="J34" t="e">
        <f>+_xlfn.XLOOKUP(E34,#REF!,F:F,"ZERO",0,1)</f>
        <v>#REF!</v>
      </c>
    </row>
    <row r="35" spans="5:10" x14ac:dyDescent="0.3">
      <c r="E35" s="13" t="s">
        <v>177</v>
      </c>
      <c r="F35" s="13" t="s">
        <v>178</v>
      </c>
      <c r="G35" s="13" t="s">
        <v>594</v>
      </c>
      <c r="I35" t="s">
        <v>16</v>
      </c>
      <c r="J35" t="e">
        <f>+_xlfn.XLOOKUP(E35,#REF!,F:F,"ZERO",0,1)</f>
        <v>#REF!</v>
      </c>
    </row>
    <row r="36" spans="5:10" x14ac:dyDescent="0.3">
      <c r="E36" s="13" t="s">
        <v>112</v>
      </c>
      <c r="F36" s="13" t="s">
        <v>175</v>
      </c>
      <c r="G36" s="13" t="s">
        <v>593</v>
      </c>
      <c r="I36" t="s">
        <v>12</v>
      </c>
      <c r="J36" t="e">
        <f>+_xlfn.XLOOKUP(E36,#REF!,F:F,"ZERO",0,1)</f>
        <v>#REF!</v>
      </c>
    </row>
    <row r="37" spans="5:10" x14ac:dyDescent="0.3">
      <c r="E37" s="13" t="s">
        <v>186</v>
      </c>
      <c r="F37" s="13" t="s">
        <v>185</v>
      </c>
      <c r="G37" s="13" t="s">
        <v>594</v>
      </c>
      <c r="H37" s="3" t="s">
        <v>606</v>
      </c>
      <c r="I37" t="s">
        <v>16</v>
      </c>
      <c r="J37" t="e">
        <f>+_xlfn.XLOOKUP(E37,#REF!,F:F,"ZERO",0,1)</f>
        <v>#REF!</v>
      </c>
    </row>
    <row r="38" spans="5:10" x14ac:dyDescent="0.3">
      <c r="E38" s="13" t="s">
        <v>54</v>
      </c>
      <c r="F38" s="13" t="s">
        <v>190</v>
      </c>
      <c r="G38" s="13" t="s">
        <v>593</v>
      </c>
      <c r="I38" t="s">
        <v>16</v>
      </c>
      <c r="J38" t="e">
        <f>+_xlfn.XLOOKUP(E38,#REF!,F:F,"ZERO",0,1)</f>
        <v>#REF!</v>
      </c>
    </row>
    <row r="39" spans="5:10" x14ac:dyDescent="0.3">
      <c r="E39" s="13" t="s">
        <v>188</v>
      </c>
      <c r="F39" s="13" t="s">
        <v>578</v>
      </c>
      <c r="G39" s="13" t="s">
        <v>593</v>
      </c>
      <c r="I39" t="s">
        <v>16</v>
      </c>
      <c r="J39" t="e">
        <f>+_xlfn.XLOOKUP(E39,#REF!,F:F,"ZERO",0,1)</f>
        <v>#REF!</v>
      </c>
    </row>
    <row r="40" spans="5:10" x14ac:dyDescent="0.3">
      <c r="E40" s="13" t="s">
        <v>84</v>
      </c>
      <c r="F40" s="13" t="s">
        <v>196</v>
      </c>
      <c r="G40" s="13" t="s">
        <v>593</v>
      </c>
      <c r="H40" s="3"/>
      <c r="I40" t="s">
        <v>16</v>
      </c>
      <c r="J40" t="e">
        <f>+_xlfn.XLOOKUP(E40,#REF!,F:F,"ZERO",0,1)</f>
        <v>#REF!</v>
      </c>
    </row>
    <row r="41" spans="5:10" x14ac:dyDescent="0.3">
      <c r="E41" s="13" t="s">
        <v>198</v>
      </c>
      <c r="F41" s="13" t="s">
        <v>199</v>
      </c>
      <c r="G41" s="13" t="s">
        <v>594</v>
      </c>
      <c r="H41" s="3"/>
      <c r="I41" t="s">
        <v>16</v>
      </c>
      <c r="J41" t="e">
        <f>+_xlfn.XLOOKUP(E41,#REF!,F:F,"ZERO",0,1)</f>
        <v>#REF!</v>
      </c>
    </row>
    <row r="42" spans="5:10" x14ac:dyDescent="0.3">
      <c r="E42" s="13" t="s">
        <v>100</v>
      </c>
      <c r="F42" s="13" t="s">
        <v>191</v>
      </c>
      <c r="G42" s="13" t="s">
        <v>593</v>
      </c>
      <c r="I42" t="s">
        <v>12</v>
      </c>
      <c r="J42" t="e">
        <f>+_xlfn.XLOOKUP(E42,#REF!,F:F,"ZERO",0,1)</f>
        <v>#REF!</v>
      </c>
    </row>
    <row r="43" spans="5:10" x14ac:dyDescent="0.3">
      <c r="E43" s="13" t="s">
        <v>203</v>
      </c>
      <c r="F43" s="13" t="s">
        <v>202</v>
      </c>
      <c r="G43" s="13" t="s">
        <v>594</v>
      </c>
      <c r="H43" s="3" t="s">
        <v>606</v>
      </c>
      <c r="I43" t="s">
        <v>16</v>
      </c>
      <c r="J43" t="e">
        <f>+_xlfn.XLOOKUP(E43,#REF!,F:F,"ZERO",0,1)</f>
        <v>#REF!</v>
      </c>
    </row>
    <row r="44" spans="5:10" x14ac:dyDescent="0.3">
      <c r="E44" s="13" t="s">
        <v>193</v>
      </c>
      <c r="F44" s="13" t="s">
        <v>194</v>
      </c>
      <c r="G44" s="13" t="s">
        <v>593</v>
      </c>
      <c r="H44" s="3"/>
      <c r="I44" t="s">
        <v>16</v>
      </c>
      <c r="J44" t="e">
        <f>+_xlfn.XLOOKUP(E44,#REF!,F:F,"ZERO",0,1)</f>
        <v>#REF!</v>
      </c>
    </row>
    <row r="45" spans="5:10" x14ac:dyDescent="0.3">
      <c r="E45" s="13" t="s">
        <v>115</v>
      </c>
      <c r="F45" s="13" t="s">
        <v>206</v>
      </c>
      <c r="G45" s="13" t="s">
        <v>594</v>
      </c>
      <c r="H45" s="3"/>
      <c r="I45" t="s">
        <v>16</v>
      </c>
      <c r="J45" t="e">
        <f>+_xlfn.XLOOKUP(E45,#REF!,F:F,"ZERO",0,1)</f>
        <v>#REF!</v>
      </c>
    </row>
    <row r="46" spans="5:10" x14ac:dyDescent="0.3">
      <c r="E46" s="13" t="s">
        <v>109</v>
      </c>
      <c r="F46" s="13" t="s">
        <v>204</v>
      </c>
      <c r="G46" s="13" t="s">
        <v>594</v>
      </c>
      <c r="I46" t="s">
        <v>16</v>
      </c>
      <c r="J46" t="e">
        <f>+_xlfn.XLOOKUP(E46,#REF!,F:F,"ZERO",0,1)</f>
        <v>#REF!</v>
      </c>
    </row>
    <row r="47" spans="5:10" x14ac:dyDescent="0.3">
      <c r="E47" s="13" t="s">
        <v>208</v>
      </c>
      <c r="F47" s="13" t="s">
        <v>209</v>
      </c>
      <c r="G47" s="13" t="s">
        <v>631</v>
      </c>
      <c r="H47" s="3"/>
      <c r="I47" t="s">
        <v>16</v>
      </c>
      <c r="J47" t="e">
        <f>+_xlfn.XLOOKUP(E47,#REF!,F:F,"ZERO",0,1)</f>
        <v>#REF!</v>
      </c>
    </row>
    <row r="48" spans="5:10" x14ac:dyDescent="0.3">
      <c r="E48" s="13" t="s">
        <v>129</v>
      </c>
      <c r="F48" s="13" t="s">
        <v>130</v>
      </c>
      <c r="G48" s="13" t="s">
        <v>599</v>
      </c>
      <c r="H48" s="3" t="s">
        <v>606</v>
      </c>
      <c r="I48" t="s">
        <v>16</v>
      </c>
      <c r="J48" t="e">
        <f>+_xlfn.XLOOKUP(E48,#REF!,F:F,"ZERO",0,1)</f>
        <v>#REF!</v>
      </c>
    </row>
    <row r="49" spans="5:10" x14ac:dyDescent="0.3">
      <c r="E49" s="13" t="s">
        <v>181</v>
      </c>
      <c r="F49" s="13" t="s">
        <v>577</v>
      </c>
      <c r="G49" s="13" t="s">
        <v>594</v>
      </c>
      <c r="I49" t="s">
        <v>16</v>
      </c>
      <c r="J49" t="e">
        <f>+_xlfn.XLOOKUP(E49,#REF!,F:F,"ZERO",0,1)</f>
        <v>#REF!</v>
      </c>
    </row>
    <row r="50" spans="5:10" x14ac:dyDescent="0.3">
      <c r="E50" s="13" t="s">
        <v>215</v>
      </c>
      <c r="F50" s="13" t="s">
        <v>216</v>
      </c>
      <c r="G50" s="13" t="s">
        <v>594</v>
      </c>
      <c r="H50" s="3"/>
      <c r="I50" t="s">
        <v>16</v>
      </c>
      <c r="J50" t="e">
        <f>+_xlfn.XLOOKUP(E50,#REF!,F:F,"ZERO",0,1)</f>
        <v>#REF!</v>
      </c>
    </row>
    <row r="51" spans="5:10" x14ac:dyDescent="0.3">
      <c r="E51" s="13" t="s">
        <v>213</v>
      </c>
      <c r="F51" s="13" t="s">
        <v>212</v>
      </c>
      <c r="G51" s="13" t="s">
        <v>593</v>
      </c>
      <c r="H51" s="3"/>
      <c r="I51" t="s">
        <v>16</v>
      </c>
      <c r="J51" t="e">
        <f>+_xlfn.XLOOKUP(E51,#REF!,F:F,"ZERO",0,1)</f>
        <v>#REF!</v>
      </c>
    </row>
    <row r="52" spans="5:10" x14ac:dyDescent="0.3">
      <c r="E52" s="13" t="s">
        <v>86</v>
      </c>
      <c r="F52" s="13" t="s">
        <v>576</v>
      </c>
      <c r="G52" s="13" t="s">
        <v>593</v>
      </c>
      <c r="H52" s="3"/>
      <c r="I52" t="s">
        <v>16</v>
      </c>
      <c r="J52" t="e">
        <f>+_xlfn.XLOOKUP(E52,#REF!,F:F,"ZERO",0,1)</f>
        <v>#REF!</v>
      </c>
    </row>
    <row r="53" spans="5:10" x14ac:dyDescent="0.3">
      <c r="E53" s="13" t="s">
        <v>221</v>
      </c>
      <c r="F53" s="13" t="s">
        <v>222</v>
      </c>
      <c r="G53" s="13" t="s">
        <v>594</v>
      </c>
      <c r="H53" s="3"/>
      <c r="I53" t="s">
        <v>16</v>
      </c>
      <c r="J53" t="e">
        <f>+_xlfn.XLOOKUP(E53,#REF!,F:F,"ZERO",0,1)</f>
        <v>#REF!</v>
      </c>
    </row>
    <row r="54" spans="5:10" x14ac:dyDescent="0.3">
      <c r="E54" s="13" t="s">
        <v>218</v>
      </c>
      <c r="F54" s="13" t="s">
        <v>219</v>
      </c>
      <c r="G54" s="13" t="s">
        <v>594</v>
      </c>
      <c r="H54" t="s">
        <v>606</v>
      </c>
      <c r="I54" t="s">
        <v>16</v>
      </c>
      <c r="J54" t="e">
        <f>+_xlfn.XLOOKUP(E54,#REF!,F:F,"ZERO",0,1)</f>
        <v>#REF!</v>
      </c>
    </row>
    <row r="55" spans="5:10" x14ac:dyDescent="0.3">
      <c r="E55" s="13" t="s">
        <v>65</v>
      </c>
      <c r="F55" s="13" t="s">
        <v>575</v>
      </c>
      <c r="G55" s="13" t="s">
        <v>593</v>
      </c>
      <c r="H55" s="3"/>
      <c r="I55" t="s">
        <v>16</v>
      </c>
      <c r="J55" t="e">
        <f>+_xlfn.XLOOKUP(E55,#REF!,F:F,"ZERO",0,1)</f>
        <v>#REF!</v>
      </c>
    </row>
    <row r="56" spans="5:10" x14ac:dyDescent="0.3">
      <c r="E56" s="13" t="s">
        <v>229</v>
      </c>
      <c r="F56" s="13" t="s">
        <v>228</v>
      </c>
      <c r="G56" t="s">
        <v>594</v>
      </c>
      <c r="H56" s="3" t="s">
        <v>606</v>
      </c>
      <c r="I56" t="s">
        <v>12</v>
      </c>
      <c r="J56" t="e">
        <f>+_xlfn.XLOOKUP(E56,#REF!,F:F,"ZERO",0,1)</f>
        <v>#REF!</v>
      </c>
    </row>
    <row r="57" spans="5:10" x14ac:dyDescent="0.3">
      <c r="E57" s="13" t="s">
        <v>232</v>
      </c>
      <c r="F57" s="13" t="s">
        <v>231</v>
      </c>
      <c r="G57" s="13" t="s">
        <v>594</v>
      </c>
      <c r="H57" s="3"/>
      <c r="I57" t="s">
        <v>16</v>
      </c>
      <c r="J57" t="e">
        <f>+_xlfn.XLOOKUP(E57,#REF!,F:F,"ZERO",0,1)</f>
        <v>#REF!</v>
      </c>
    </row>
    <row r="58" spans="5:10" x14ac:dyDescent="0.3">
      <c r="E58" s="13" t="s">
        <v>95</v>
      </c>
      <c r="F58" s="13" t="s">
        <v>226</v>
      </c>
      <c r="G58" s="13" t="s">
        <v>593</v>
      </c>
      <c r="H58" s="3"/>
      <c r="I58" t="s">
        <v>16</v>
      </c>
      <c r="J58" t="e">
        <f>+_xlfn.XLOOKUP(E58,#REF!,F:F,"ZERO",0,1)</f>
        <v>#REF!</v>
      </c>
    </row>
    <row r="59" spans="5:10" x14ac:dyDescent="0.3">
      <c r="E59" s="13" t="s">
        <v>239</v>
      </c>
      <c r="F59" s="12" t="s">
        <v>240</v>
      </c>
      <c r="G59" s="12" t="s">
        <v>594</v>
      </c>
      <c r="H59" s="3"/>
      <c r="I59" t="s">
        <v>16</v>
      </c>
      <c r="J59" t="e">
        <f>+_xlfn.XLOOKUP(E59,#REF!,F:F,"ZERO",0,1)</f>
        <v>#REF!</v>
      </c>
    </row>
    <row r="60" spans="5:10" x14ac:dyDescent="0.3">
      <c r="E60" s="13" t="s">
        <v>238</v>
      </c>
      <c r="F60" s="13" t="s">
        <v>237</v>
      </c>
      <c r="G60" s="13" t="s">
        <v>599</v>
      </c>
      <c r="H60" s="3"/>
      <c r="I60" t="s">
        <v>16</v>
      </c>
      <c r="J60" t="e">
        <f>+_xlfn.XLOOKUP(E60,#REF!,F:F,"ZERO",0,1)</f>
        <v>#REF!</v>
      </c>
    </row>
    <row r="61" spans="5:10" x14ac:dyDescent="0.3">
      <c r="E61" s="13" t="s">
        <v>242</v>
      </c>
      <c r="F61" s="13" t="s">
        <v>243</v>
      </c>
      <c r="G61" t="s">
        <v>594</v>
      </c>
      <c r="H61" s="3" t="s">
        <v>606</v>
      </c>
      <c r="I61" t="s">
        <v>16</v>
      </c>
      <c r="J61" t="e">
        <f>+_xlfn.XLOOKUP(E61,#REF!,F:F,"ZERO",0,1)</f>
        <v>#REF!</v>
      </c>
    </row>
    <row r="62" spans="5:10" x14ac:dyDescent="0.3">
      <c r="E62" s="13" t="s">
        <v>246</v>
      </c>
      <c r="F62" s="13" t="s">
        <v>574</v>
      </c>
      <c r="G62" t="s">
        <v>594</v>
      </c>
      <c r="H62" s="3" t="s">
        <v>606</v>
      </c>
      <c r="I62" t="s">
        <v>16</v>
      </c>
      <c r="J62" t="e">
        <f>+_xlfn.XLOOKUP(E62,#REF!,F:F,"ZERO",0,1)</f>
        <v>#REF!</v>
      </c>
    </row>
    <row r="63" spans="5:10" x14ac:dyDescent="0.3">
      <c r="E63" s="13" t="s">
        <v>247</v>
      </c>
      <c r="F63" s="13" t="s">
        <v>248</v>
      </c>
      <c r="G63" s="13" t="s">
        <v>594</v>
      </c>
      <c r="I63" t="s">
        <v>16</v>
      </c>
      <c r="J63" t="e">
        <f>+_xlfn.XLOOKUP(E63,#REF!,F:F,"ZERO",0,1)</f>
        <v>#REF!</v>
      </c>
    </row>
    <row r="64" spans="5:10" x14ac:dyDescent="0.3">
      <c r="E64" s="13" t="s">
        <v>250</v>
      </c>
      <c r="F64" s="13" t="s">
        <v>251</v>
      </c>
      <c r="G64" s="13" t="s">
        <v>593</v>
      </c>
      <c r="H64" s="3"/>
      <c r="I64" t="s">
        <v>16</v>
      </c>
      <c r="J64" t="e">
        <f>+_xlfn.XLOOKUP(E64,#REF!,F:F,"ZERO",0,1)</f>
        <v>#REF!</v>
      </c>
    </row>
    <row r="65" spans="5:10" x14ac:dyDescent="0.3">
      <c r="E65" s="13" t="s">
        <v>233</v>
      </c>
      <c r="F65" s="13" t="s">
        <v>234</v>
      </c>
      <c r="G65" s="13" t="s">
        <v>594</v>
      </c>
      <c r="H65" s="3" t="s">
        <v>606</v>
      </c>
      <c r="I65" t="s">
        <v>16</v>
      </c>
      <c r="J65" t="e">
        <f>+_xlfn.XLOOKUP(E65,#REF!,F:F,"ZERO",0,1)</f>
        <v>#REF!</v>
      </c>
    </row>
    <row r="66" spans="5:10" x14ac:dyDescent="0.3">
      <c r="E66" s="13" t="s">
        <v>255</v>
      </c>
      <c r="F66" s="13" t="s">
        <v>254</v>
      </c>
      <c r="G66" s="13" t="s">
        <v>594</v>
      </c>
      <c r="I66" t="s">
        <v>16</v>
      </c>
      <c r="J66" t="e">
        <f>+_xlfn.XLOOKUP(E66,#REF!,F:F,"ZERO",0,1)</f>
        <v>#REF!</v>
      </c>
    </row>
    <row r="67" spans="5:10" x14ac:dyDescent="0.3">
      <c r="E67" s="13" t="s">
        <v>256</v>
      </c>
      <c r="F67" s="13" t="s">
        <v>573</v>
      </c>
      <c r="G67" s="13" t="s">
        <v>594</v>
      </c>
      <c r="I67" t="s">
        <v>16</v>
      </c>
      <c r="J67" t="e">
        <f>+_xlfn.XLOOKUP(E67,#REF!,F:F,"ZERO",0,1)</f>
        <v>#REF!</v>
      </c>
    </row>
    <row r="68" spans="5:10" x14ac:dyDescent="0.3">
      <c r="E68" s="13" t="s">
        <v>260</v>
      </c>
      <c r="F68" s="13" t="s">
        <v>259</v>
      </c>
      <c r="G68" s="13" t="s">
        <v>594</v>
      </c>
      <c r="H68" s="3"/>
      <c r="I68" t="s">
        <v>16</v>
      </c>
      <c r="J68" t="e">
        <f>+_xlfn.XLOOKUP(E68,#REF!,F:F,"ZERO",0,1)</f>
        <v>#REF!</v>
      </c>
    </row>
    <row r="69" spans="5:10" x14ac:dyDescent="0.3">
      <c r="E69" s="13" t="s">
        <v>264</v>
      </c>
      <c r="F69" s="13" t="s">
        <v>572</v>
      </c>
      <c r="G69" s="13" t="s">
        <v>594</v>
      </c>
      <c r="I69" t="s">
        <v>12</v>
      </c>
      <c r="J69" t="e">
        <f>+_xlfn.XLOOKUP(E69,#REF!,F:F,"ZERO",0,1)</f>
        <v>#REF!</v>
      </c>
    </row>
    <row r="70" spans="5:10" x14ac:dyDescent="0.3">
      <c r="E70" s="13" t="s">
        <v>59</v>
      </c>
      <c r="F70" s="13" t="s">
        <v>261</v>
      </c>
      <c r="G70" s="13" t="s">
        <v>593</v>
      </c>
      <c r="H70" s="3"/>
      <c r="I70" t="s">
        <v>16</v>
      </c>
      <c r="J70" t="e">
        <f>+_xlfn.XLOOKUP(E70,#REF!,F:F,"ZERO",0,1)</f>
        <v>#REF!</v>
      </c>
    </row>
    <row r="71" spans="5:10" x14ac:dyDescent="0.3">
      <c r="E71" s="13" t="s">
        <v>267</v>
      </c>
      <c r="F71" s="13" t="s">
        <v>266</v>
      </c>
      <c r="G71" s="13" t="s">
        <v>593</v>
      </c>
      <c r="H71" s="3"/>
      <c r="I71" t="s">
        <v>16</v>
      </c>
      <c r="J71" t="e">
        <f>+_xlfn.XLOOKUP(E71,#REF!,F:F,"ZERO",0,1)</f>
        <v>#REF!</v>
      </c>
    </row>
    <row r="72" spans="5:10" x14ac:dyDescent="0.3">
      <c r="E72" s="13" t="s">
        <v>268</v>
      </c>
      <c r="F72" s="13" t="s">
        <v>571</v>
      </c>
      <c r="G72" s="13" t="s">
        <v>594</v>
      </c>
      <c r="I72" t="s">
        <v>16</v>
      </c>
      <c r="J72" t="e">
        <f>+_xlfn.XLOOKUP(E72,#REF!,F:F,"ZERO",0,1)</f>
        <v>#REF!</v>
      </c>
    </row>
    <row r="73" spans="5:10" x14ac:dyDescent="0.3">
      <c r="E73" s="13" t="s">
        <v>275</v>
      </c>
      <c r="F73" s="13" t="s">
        <v>274</v>
      </c>
      <c r="G73" s="13" t="s">
        <v>593</v>
      </c>
      <c r="I73" t="s">
        <v>12</v>
      </c>
      <c r="J73" t="e">
        <f>+_xlfn.XLOOKUP(E73,#REF!,F:F,"ZERO",0,1)</f>
        <v>#REF!</v>
      </c>
    </row>
    <row r="74" spans="5:10" x14ac:dyDescent="0.3">
      <c r="E74" s="13" t="s">
        <v>272</v>
      </c>
      <c r="F74" s="13" t="s">
        <v>271</v>
      </c>
      <c r="G74" s="13" t="s">
        <v>593</v>
      </c>
      <c r="H74" t="s">
        <v>606</v>
      </c>
      <c r="I74" t="s">
        <v>12</v>
      </c>
      <c r="J74" t="e">
        <f>+_xlfn.XLOOKUP(E74,#REF!,F:F,"ZERO",0,1)</f>
        <v>#REF!</v>
      </c>
    </row>
    <row r="75" spans="5:10" x14ac:dyDescent="0.3">
      <c r="E75" s="13" t="s">
        <v>278</v>
      </c>
      <c r="F75" s="13" t="s">
        <v>277</v>
      </c>
      <c r="G75" s="13" t="s">
        <v>594</v>
      </c>
      <c r="I75" t="s">
        <v>16</v>
      </c>
      <c r="J75" t="e">
        <f>+_xlfn.XLOOKUP(E75,#REF!,F:F,"ZERO",0,1)</f>
        <v>#REF!</v>
      </c>
    </row>
    <row r="76" spans="5:10" x14ac:dyDescent="0.3">
      <c r="E76" s="13" t="s">
        <v>281</v>
      </c>
      <c r="F76" s="13" t="s">
        <v>280</v>
      </c>
      <c r="G76" s="13" t="s">
        <v>594</v>
      </c>
      <c r="I76" t="s">
        <v>12</v>
      </c>
      <c r="J76" t="e">
        <f>+_xlfn.XLOOKUP(E76,#REF!,F:F,"ZERO",0,1)</f>
        <v>#REF!</v>
      </c>
    </row>
    <row r="77" spans="5:10" x14ac:dyDescent="0.3">
      <c r="E77" s="13" t="s">
        <v>282</v>
      </c>
      <c r="F77" s="13" t="s">
        <v>570</v>
      </c>
      <c r="G77" t="s">
        <v>594</v>
      </c>
      <c r="I77" t="s">
        <v>12</v>
      </c>
      <c r="J77" t="e">
        <f>+_xlfn.XLOOKUP(E77,#REF!,F:F,"ZERO",0,1)</f>
        <v>#REF!</v>
      </c>
    </row>
    <row r="78" spans="5:10" x14ac:dyDescent="0.3">
      <c r="E78" s="13" t="s">
        <v>108</v>
      </c>
      <c r="F78" s="13" t="s">
        <v>569</v>
      </c>
      <c r="G78" s="13" t="s">
        <v>593</v>
      </c>
      <c r="I78" t="s">
        <v>12</v>
      </c>
      <c r="J78" t="e">
        <f>+_xlfn.XLOOKUP(E78,#REF!,F:F,"ZERO",0,1)</f>
        <v>#REF!</v>
      </c>
    </row>
    <row r="79" spans="5:10" x14ac:dyDescent="0.3">
      <c r="E79" s="13" t="s">
        <v>299</v>
      </c>
      <c r="F79" s="13" t="s">
        <v>300</v>
      </c>
      <c r="G79" s="13" t="s">
        <v>593</v>
      </c>
      <c r="H79" t="s">
        <v>606</v>
      </c>
      <c r="I79" t="s">
        <v>12</v>
      </c>
      <c r="J79" t="e">
        <f>+_xlfn.XLOOKUP(E79,#REF!,F:F,"ZERO",0,1)</f>
        <v>#REF!</v>
      </c>
    </row>
    <row r="80" spans="5:10" x14ac:dyDescent="0.3">
      <c r="E80" s="13" t="s">
        <v>298</v>
      </c>
      <c r="F80" s="13" t="s">
        <v>568</v>
      </c>
      <c r="G80" s="13" t="s">
        <v>631</v>
      </c>
      <c r="H80" s="3"/>
      <c r="I80" t="s">
        <v>12</v>
      </c>
      <c r="J80" t="e">
        <f>+_xlfn.XLOOKUP(E80,#REF!,F:F,"ZERO",0,1)</f>
        <v>#REF!</v>
      </c>
    </row>
    <row r="81" spans="5:10" x14ac:dyDescent="0.3">
      <c r="E81" s="13" t="s">
        <v>800</v>
      </c>
      <c r="F81" s="13" t="s">
        <v>803</v>
      </c>
      <c r="G81" s="13"/>
      <c r="H81" s="3"/>
      <c r="J81" t="e">
        <f>+_xlfn.XLOOKUP(E81,#REF!,F:F,"ZERO",0,1)</f>
        <v>#REF!</v>
      </c>
    </row>
    <row r="82" spans="5:10" x14ac:dyDescent="0.3">
      <c r="E82" s="13" t="s">
        <v>801</v>
      </c>
      <c r="F82" s="13"/>
      <c r="G82" s="13"/>
      <c r="H82" s="3"/>
    </row>
    <row r="83" spans="5:10" x14ac:dyDescent="0.3">
      <c r="E83" s="13" t="s">
        <v>802</v>
      </c>
      <c r="F83" s="13"/>
      <c r="G83" s="13"/>
      <c r="H83" s="3"/>
    </row>
    <row r="84" spans="5:10" x14ac:dyDescent="0.3">
      <c r="E84" s="13" t="s">
        <v>66</v>
      </c>
      <c r="F84" s="13" t="s">
        <v>289</v>
      </c>
      <c r="G84" s="13" t="s">
        <v>631</v>
      </c>
      <c r="H84" s="3"/>
      <c r="I84" t="s">
        <v>12</v>
      </c>
      <c r="J84" t="e">
        <f>+_xlfn.XLOOKUP(E84,#REF!,F:F,"ZERO",0,1)</f>
        <v>#REF!</v>
      </c>
    </row>
    <row r="85" spans="5:10" x14ac:dyDescent="0.3">
      <c r="E85" s="13" t="s">
        <v>69</v>
      </c>
      <c r="F85" s="13" t="s">
        <v>288</v>
      </c>
      <c r="G85" s="13" t="s">
        <v>593</v>
      </c>
      <c r="H85" s="3"/>
      <c r="I85" t="s">
        <v>12</v>
      </c>
      <c r="J85" t="e">
        <f>+_xlfn.XLOOKUP(E85,#REF!,F:F,"ZERO",0,1)</f>
        <v>#REF!</v>
      </c>
    </row>
    <row r="86" spans="5:10" x14ac:dyDescent="0.3">
      <c r="E86" s="13" t="s">
        <v>284</v>
      </c>
      <c r="F86" s="13" t="s">
        <v>285</v>
      </c>
      <c r="G86" s="13" t="s">
        <v>594</v>
      </c>
      <c r="I86" t="s">
        <v>12</v>
      </c>
      <c r="J86" t="e">
        <f>+_xlfn.XLOOKUP(E86,#REF!,F:F,"ZERO",0,1)</f>
        <v>#REF!</v>
      </c>
    </row>
    <row r="87" spans="5:10" x14ac:dyDescent="0.3">
      <c r="E87" s="13" t="s">
        <v>291</v>
      </c>
      <c r="F87" s="13" t="s">
        <v>567</v>
      </c>
      <c r="G87" s="13" t="s">
        <v>594</v>
      </c>
      <c r="H87" t="s">
        <v>606</v>
      </c>
      <c r="I87" t="s">
        <v>12</v>
      </c>
      <c r="J87" t="e">
        <f>+_xlfn.XLOOKUP(E87,#REF!,F:F,"ZERO",0,1)</f>
        <v>#REF!</v>
      </c>
    </row>
    <row r="88" spans="5:10" x14ac:dyDescent="0.3">
      <c r="E88" s="13" t="s">
        <v>296</v>
      </c>
      <c r="F88" s="13" t="s">
        <v>295</v>
      </c>
      <c r="G88" s="13" t="s">
        <v>594</v>
      </c>
      <c r="H88" t="s">
        <v>606</v>
      </c>
      <c r="I88" t="s">
        <v>12</v>
      </c>
      <c r="J88" t="e">
        <f>+_xlfn.XLOOKUP(E88,#REF!,F:F,"ZERO",0,1)</f>
        <v>#REF!</v>
      </c>
    </row>
    <row r="89" spans="5:10" x14ac:dyDescent="0.3">
      <c r="E89" s="13" t="s">
        <v>117</v>
      </c>
      <c r="F89" s="13" t="s">
        <v>316</v>
      </c>
      <c r="G89" s="13" t="s">
        <v>593</v>
      </c>
      <c r="I89" t="s">
        <v>16</v>
      </c>
      <c r="J89" t="e">
        <f>+_xlfn.XLOOKUP(E89,#REF!,F:F,"ZERO",0,1)</f>
        <v>#REF!</v>
      </c>
    </row>
    <row r="90" spans="5:10" x14ac:dyDescent="0.3">
      <c r="E90" s="13" t="s">
        <v>318</v>
      </c>
      <c r="F90" s="13" t="s">
        <v>566</v>
      </c>
      <c r="G90" s="13" t="s">
        <v>593</v>
      </c>
      <c r="H90" t="s">
        <v>606</v>
      </c>
      <c r="I90" t="s">
        <v>12</v>
      </c>
      <c r="J90" t="e">
        <f>+_xlfn.XLOOKUP(E90,#REF!,F:F,"ZERO",0,1)</f>
        <v>#REF!</v>
      </c>
    </row>
    <row r="91" spans="5:10" x14ac:dyDescent="0.3">
      <c r="E91" s="13" t="s">
        <v>314</v>
      </c>
      <c r="F91" s="13" t="s">
        <v>565</v>
      </c>
      <c r="G91" s="13" t="s">
        <v>593</v>
      </c>
      <c r="I91" t="s">
        <v>12</v>
      </c>
      <c r="J91" t="e">
        <f>+_xlfn.XLOOKUP(E91,#REF!,F:F,"ZERO",0,1)</f>
        <v>#REF!</v>
      </c>
    </row>
    <row r="92" spans="5:10" x14ac:dyDescent="0.3">
      <c r="E92" s="13" t="s">
        <v>105</v>
      </c>
      <c r="F92" s="13" t="s">
        <v>323</v>
      </c>
      <c r="G92" s="13" t="s">
        <v>593</v>
      </c>
      <c r="H92" s="3"/>
      <c r="I92" t="s">
        <v>16</v>
      </c>
      <c r="J92" t="e">
        <f>+_xlfn.XLOOKUP(E92,#REF!,F:F,"ZERO",0,1)</f>
        <v>#REF!</v>
      </c>
    </row>
    <row r="93" spans="5:10" x14ac:dyDescent="0.3">
      <c r="E93" s="13" t="s">
        <v>49</v>
      </c>
      <c r="F93" s="13" t="s">
        <v>325</v>
      </c>
      <c r="G93" s="13" t="s">
        <v>594</v>
      </c>
      <c r="I93" t="s">
        <v>12</v>
      </c>
      <c r="J93" t="e">
        <f>+_xlfn.XLOOKUP(E93,#REF!,F:F,"ZERO",0,1)</f>
        <v>#REF!</v>
      </c>
    </row>
    <row r="94" spans="5:10" x14ac:dyDescent="0.3">
      <c r="E94" s="13" t="s">
        <v>328</v>
      </c>
      <c r="F94" s="13" t="s">
        <v>564</v>
      </c>
      <c r="G94" s="13" t="s">
        <v>594</v>
      </c>
      <c r="H94" s="3"/>
      <c r="I94" t="s">
        <v>12</v>
      </c>
      <c r="J94" t="e">
        <f>+_xlfn.XLOOKUP(E94,#REF!,F:F,"ZERO",0,1)</f>
        <v>#REF!</v>
      </c>
    </row>
    <row r="95" spans="5:10" x14ac:dyDescent="0.3">
      <c r="E95" s="13" t="s">
        <v>329</v>
      </c>
      <c r="F95" s="13" t="s">
        <v>563</v>
      </c>
      <c r="G95" s="13" t="s">
        <v>594</v>
      </c>
      <c r="H95" t="s">
        <v>606</v>
      </c>
      <c r="I95" t="s">
        <v>12</v>
      </c>
      <c r="J95" t="e">
        <f>+_xlfn.XLOOKUP(E95,#REF!,F:F,"ZERO",0,1)</f>
        <v>#REF!</v>
      </c>
    </row>
    <row r="96" spans="5:10" x14ac:dyDescent="0.3">
      <c r="E96" s="13" t="s">
        <v>331</v>
      </c>
      <c r="F96" s="13" t="s">
        <v>332</v>
      </c>
      <c r="G96" s="13" t="s">
        <v>593</v>
      </c>
      <c r="I96" t="s">
        <v>12</v>
      </c>
      <c r="J96" t="e">
        <f>+_xlfn.XLOOKUP(E96,#REF!,F:F,"ZERO",0,1)</f>
        <v>#REF!</v>
      </c>
    </row>
    <row r="97" spans="5:10" x14ac:dyDescent="0.3">
      <c r="E97" s="13" t="s">
        <v>336</v>
      </c>
      <c r="F97" s="13" t="s">
        <v>335</v>
      </c>
      <c r="G97" s="13" t="s">
        <v>593</v>
      </c>
      <c r="H97" s="3"/>
      <c r="I97" t="s">
        <v>16</v>
      </c>
      <c r="J97" t="e">
        <f>+_xlfn.XLOOKUP(E97,#REF!,F:F,"ZERO",0,1)</f>
        <v>#REF!</v>
      </c>
    </row>
    <row r="98" spans="5:10" x14ac:dyDescent="0.3">
      <c r="E98" s="13" t="s">
        <v>107</v>
      </c>
      <c r="F98" s="13" t="s">
        <v>338</v>
      </c>
      <c r="G98" s="13" t="s">
        <v>593</v>
      </c>
      <c r="I98" t="s">
        <v>12</v>
      </c>
      <c r="J98" t="e">
        <f>+_xlfn.XLOOKUP(E98,#REF!,F:F,"ZERO",0,1)</f>
        <v>#REF!</v>
      </c>
    </row>
    <row r="99" spans="5:10" x14ac:dyDescent="0.3">
      <c r="E99" s="13" t="s">
        <v>81</v>
      </c>
      <c r="F99" s="13" t="s">
        <v>562</v>
      </c>
      <c r="G99" s="13" t="s">
        <v>593</v>
      </c>
      <c r="I99" t="s">
        <v>12</v>
      </c>
      <c r="J99" t="e">
        <f>+_xlfn.XLOOKUP(E99,#REF!,F:F,"ZERO",0,1)</f>
        <v>#REF!</v>
      </c>
    </row>
    <row r="100" spans="5:10" x14ac:dyDescent="0.3">
      <c r="E100" s="13" t="s">
        <v>56</v>
      </c>
      <c r="F100" s="13" t="s">
        <v>340</v>
      </c>
      <c r="G100" s="13" t="s">
        <v>593</v>
      </c>
      <c r="H100" s="3"/>
      <c r="I100" t="s">
        <v>12</v>
      </c>
      <c r="J100" t="e">
        <f>+_xlfn.XLOOKUP(E100,#REF!,F:F,"ZERO",0,1)</f>
        <v>#REF!</v>
      </c>
    </row>
    <row r="101" spans="5:10" x14ac:dyDescent="0.3">
      <c r="E101" s="13" t="s">
        <v>304</v>
      </c>
      <c r="F101" s="18" t="s">
        <v>303</v>
      </c>
      <c r="G101" s="13" t="s">
        <v>594</v>
      </c>
      <c r="H101" s="3"/>
      <c r="I101" t="s">
        <v>12</v>
      </c>
      <c r="J101" t="e">
        <f>+_xlfn.XLOOKUP(E101,#REF!,F:F,"ZERO",0,1)</f>
        <v>#REF!</v>
      </c>
    </row>
    <row r="102" spans="5:10" x14ac:dyDescent="0.3">
      <c r="E102" s="13" t="s">
        <v>305</v>
      </c>
      <c r="F102" s="18" t="s">
        <v>561</v>
      </c>
      <c r="G102" s="13" t="s">
        <v>594</v>
      </c>
      <c r="H102" s="3"/>
      <c r="I102" t="s">
        <v>12</v>
      </c>
      <c r="J102" t="e">
        <f>+_xlfn.XLOOKUP(E102,#REF!,F:F,"ZERO",0,1)</f>
        <v>#REF!</v>
      </c>
    </row>
    <row r="103" spans="5:10" x14ac:dyDescent="0.3">
      <c r="E103" s="13" t="s">
        <v>102</v>
      </c>
      <c r="F103" s="18" t="s">
        <v>307</v>
      </c>
      <c r="G103" t="s">
        <v>594</v>
      </c>
      <c r="H103" s="3"/>
      <c r="I103" t="s">
        <v>12</v>
      </c>
      <c r="J103" t="e">
        <f>+_xlfn.XLOOKUP(E103,#REF!,F:F,"ZERO",0,1)</f>
        <v>#REF!</v>
      </c>
    </row>
    <row r="104" spans="5:10" x14ac:dyDescent="0.3">
      <c r="E104" s="13" t="s">
        <v>309</v>
      </c>
      <c r="F104" s="18" t="s">
        <v>310</v>
      </c>
      <c r="G104" s="13" t="s">
        <v>593</v>
      </c>
      <c r="I104" t="s">
        <v>12</v>
      </c>
      <c r="J104" t="e">
        <f>+_xlfn.XLOOKUP(E104,#REF!,F:F,"ZERO",0,1)</f>
        <v>#REF!</v>
      </c>
    </row>
    <row r="105" spans="5:10" x14ac:dyDescent="0.3">
      <c r="E105" s="13" t="s">
        <v>89</v>
      </c>
      <c r="F105" s="18" t="s">
        <v>313</v>
      </c>
      <c r="G105" s="13" t="s">
        <v>594</v>
      </c>
      <c r="I105" t="s">
        <v>16</v>
      </c>
      <c r="J105" t="e">
        <f>+_xlfn.XLOOKUP(E105,#REF!,F:F,"ZERO",0,1)</f>
        <v>#REF!</v>
      </c>
    </row>
    <row r="106" spans="5:10" x14ac:dyDescent="0.3">
      <c r="E106" s="13" t="s">
        <v>322</v>
      </c>
      <c r="F106" s="18" t="s">
        <v>321</v>
      </c>
      <c r="G106" s="13" t="s">
        <v>594</v>
      </c>
      <c r="I106" t="s">
        <v>12</v>
      </c>
      <c r="J106" t="e">
        <f>+_xlfn.XLOOKUP(E106,#REF!,F:F,"ZERO",0,1)</f>
        <v>#REF!</v>
      </c>
    </row>
    <row r="107" spans="5:10" x14ac:dyDescent="0.3">
      <c r="E107" s="16" t="s">
        <v>345</v>
      </c>
      <c r="F107" s="16" t="s">
        <v>560</v>
      </c>
      <c r="G107" s="13" t="s">
        <v>593</v>
      </c>
      <c r="H107" s="3"/>
      <c r="I107" t="s">
        <v>12</v>
      </c>
      <c r="J107" t="e">
        <f>+_xlfn.XLOOKUP(E107,#REF!,F:F,"ZERO",0,1)</f>
        <v>#REF!</v>
      </c>
    </row>
    <row r="108" spans="5:10" x14ac:dyDescent="0.3">
      <c r="E108" s="16" t="s">
        <v>348</v>
      </c>
      <c r="F108" s="16" t="s">
        <v>347</v>
      </c>
      <c r="G108" s="13" t="s">
        <v>594</v>
      </c>
      <c r="I108" t="s">
        <v>12</v>
      </c>
      <c r="J108" t="e">
        <f>+_xlfn.XLOOKUP(E108,#REF!,F:F,"ZERO",0,1)</f>
        <v>#REF!</v>
      </c>
    </row>
    <row r="109" spans="5:10" x14ac:dyDescent="0.3">
      <c r="E109" s="16" t="s">
        <v>88</v>
      </c>
      <c r="F109" s="16" t="s">
        <v>350</v>
      </c>
      <c r="G109" s="13" t="s">
        <v>593</v>
      </c>
      <c r="I109" t="s">
        <v>12</v>
      </c>
      <c r="J109" t="e">
        <f>+_xlfn.XLOOKUP(E109,#REF!,F:F,"ZERO",0,1)</f>
        <v>#REF!</v>
      </c>
    </row>
    <row r="110" spans="5:10" x14ac:dyDescent="0.3">
      <c r="E110" s="16" t="s">
        <v>73</v>
      </c>
      <c r="F110" s="16" t="s">
        <v>559</v>
      </c>
      <c r="G110" s="13" t="s">
        <v>593</v>
      </c>
      <c r="H110" s="3"/>
      <c r="I110" t="s">
        <v>16</v>
      </c>
      <c r="J110" t="e">
        <f>+_xlfn.XLOOKUP(E110,#REF!,F:F,"ZERO",0,1)</f>
        <v>#REF!</v>
      </c>
    </row>
    <row r="111" spans="5:10" x14ac:dyDescent="0.3">
      <c r="E111" s="16" t="s">
        <v>106</v>
      </c>
      <c r="F111" s="16" t="s">
        <v>558</v>
      </c>
      <c r="G111" s="13" t="s">
        <v>594</v>
      </c>
      <c r="H111" s="3"/>
      <c r="I111" t="s">
        <v>12</v>
      </c>
      <c r="J111" t="e">
        <f>+_xlfn.XLOOKUP(E111,#REF!,F:F,"ZERO",0,1)</f>
        <v>#REF!</v>
      </c>
    </row>
    <row r="112" spans="5:10" x14ac:dyDescent="0.3">
      <c r="E112" s="16" t="s">
        <v>355</v>
      </c>
      <c r="F112" s="16" t="s">
        <v>354</v>
      </c>
      <c r="G112" s="13" t="s">
        <v>593</v>
      </c>
      <c r="I112" t="s">
        <v>12</v>
      </c>
      <c r="J112" t="e">
        <f>+_xlfn.XLOOKUP(E112,#REF!,F:F,"ZERO",0,1)</f>
        <v>#REF!</v>
      </c>
    </row>
    <row r="113" spans="5:10" x14ac:dyDescent="0.3">
      <c r="E113" s="16" t="s">
        <v>358</v>
      </c>
      <c r="F113" s="16" t="s">
        <v>357</v>
      </c>
      <c r="G113" s="13" t="s">
        <v>594</v>
      </c>
      <c r="H113" s="3"/>
      <c r="I113" t="s">
        <v>12</v>
      </c>
      <c r="J113" t="e">
        <f>+_xlfn.XLOOKUP(E113,#REF!,F:F,"ZERO",0,1)</f>
        <v>#REF!</v>
      </c>
    </row>
    <row r="114" spans="5:10" x14ac:dyDescent="0.3">
      <c r="E114" s="16" t="s">
        <v>376</v>
      </c>
      <c r="F114" s="16" t="s">
        <v>377</v>
      </c>
      <c r="G114" s="13" t="s">
        <v>593</v>
      </c>
      <c r="H114" s="3" t="s">
        <v>606</v>
      </c>
      <c r="I114" t="s">
        <v>12</v>
      </c>
      <c r="J114" t="e">
        <f>+_xlfn.XLOOKUP(E114,#REF!,F:F,"ZERO",0,1)</f>
        <v>#REF!</v>
      </c>
    </row>
    <row r="115" spans="5:10" x14ac:dyDescent="0.3">
      <c r="E115" s="16" t="s">
        <v>373</v>
      </c>
      <c r="F115" s="16" t="s">
        <v>374</v>
      </c>
      <c r="G115" s="13" t="s">
        <v>594</v>
      </c>
      <c r="H115" s="3"/>
      <c r="I115" t="s">
        <v>12</v>
      </c>
      <c r="J115" t="e">
        <f>+_xlfn.XLOOKUP(E115,#REF!,F:F,"ZERO",0,1)</f>
        <v>#REF!</v>
      </c>
    </row>
    <row r="116" spans="5:10" x14ac:dyDescent="0.3">
      <c r="E116" s="16" t="s">
        <v>370</v>
      </c>
      <c r="F116" s="16" t="s">
        <v>371</v>
      </c>
      <c r="G116" t="s">
        <v>594</v>
      </c>
      <c r="I116" t="s">
        <v>12</v>
      </c>
      <c r="J116" t="e">
        <f>+_xlfn.XLOOKUP(E116,#REF!,F:F,"ZERO",0,1)</f>
        <v>#REF!</v>
      </c>
    </row>
    <row r="117" spans="5:10" x14ac:dyDescent="0.3">
      <c r="E117" s="16" t="s">
        <v>368</v>
      </c>
      <c r="F117" s="16" t="s">
        <v>557</v>
      </c>
      <c r="G117" s="13" t="s">
        <v>594</v>
      </c>
      <c r="H117" s="3" t="s">
        <v>606</v>
      </c>
      <c r="I117" t="s">
        <v>12</v>
      </c>
      <c r="J117" t="e">
        <f>+_xlfn.XLOOKUP(E117,#REF!,F:F,"ZERO",0,1)</f>
        <v>#REF!</v>
      </c>
    </row>
    <row r="118" spans="5:10" x14ac:dyDescent="0.3">
      <c r="E118" s="16" t="s">
        <v>367</v>
      </c>
      <c r="F118" s="16" t="s">
        <v>366</v>
      </c>
      <c r="G118" s="13" t="s">
        <v>631</v>
      </c>
      <c r="H118" s="3"/>
      <c r="I118" t="s">
        <v>12</v>
      </c>
      <c r="J118" t="e">
        <f>+_xlfn.XLOOKUP(E118,#REF!,F:F,"ZERO",0,1)</f>
        <v>#REF!</v>
      </c>
    </row>
    <row r="119" spans="5:10" x14ac:dyDescent="0.3">
      <c r="E119" s="16" t="s">
        <v>362</v>
      </c>
      <c r="F119" s="16" t="s">
        <v>363</v>
      </c>
      <c r="G119" s="13" t="s">
        <v>631</v>
      </c>
      <c r="I119" t="s">
        <v>12</v>
      </c>
      <c r="J119" t="e">
        <f>+_xlfn.XLOOKUP(E119,#REF!,F:F,"ZERO",0,1)</f>
        <v>#REF!</v>
      </c>
    </row>
    <row r="120" spans="5:10" x14ac:dyDescent="0.3">
      <c r="E120" s="16" t="s">
        <v>361</v>
      </c>
      <c r="F120" s="16" t="s">
        <v>360</v>
      </c>
      <c r="G120" s="13" t="s">
        <v>594</v>
      </c>
      <c r="H120" s="3"/>
      <c r="I120" t="s">
        <v>16</v>
      </c>
      <c r="J120" t="e">
        <f>+_xlfn.XLOOKUP(E120,#REF!,F:F,"ZERO",0,1)</f>
        <v>#REF!</v>
      </c>
    </row>
    <row r="121" spans="5:10" x14ac:dyDescent="0.3">
      <c r="E121" s="16" t="s">
        <v>381</v>
      </c>
      <c r="F121" s="16" t="s">
        <v>380</v>
      </c>
      <c r="G121" s="13" t="s">
        <v>593</v>
      </c>
      <c r="H121" s="3"/>
      <c r="I121" t="s">
        <v>12</v>
      </c>
      <c r="J121" t="e">
        <f>+_xlfn.XLOOKUP(E121,#REF!,F:F,"ZERO",0,1)</f>
        <v>#REF!</v>
      </c>
    </row>
    <row r="122" spans="5:10" x14ac:dyDescent="0.3">
      <c r="E122" s="16" t="s">
        <v>384</v>
      </c>
      <c r="F122" s="16" t="s">
        <v>383</v>
      </c>
      <c r="G122" s="13" t="s">
        <v>594</v>
      </c>
      <c r="H122" s="3"/>
      <c r="I122" t="s">
        <v>12</v>
      </c>
      <c r="J122" t="e">
        <f>+_xlfn.XLOOKUP(E122,#REF!,F:F,"ZERO",0,1)</f>
        <v>#REF!</v>
      </c>
    </row>
    <row r="123" spans="5:10" x14ac:dyDescent="0.3">
      <c r="E123" s="16" t="s">
        <v>391</v>
      </c>
      <c r="F123" s="16" t="s">
        <v>392</v>
      </c>
      <c r="G123" s="13" t="s">
        <v>593</v>
      </c>
      <c r="H123" s="3"/>
      <c r="I123" t="s">
        <v>12</v>
      </c>
      <c r="J123" t="e">
        <f>+_xlfn.XLOOKUP(E123,#REF!,F:F,"ZERO",0,1)</f>
        <v>#REF!</v>
      </c>
    </row>
    <row r="124" spans="5:10" x14ac:dyDescent="0.3">
      <c r="E124" s="16" t="s">
        <v>385</v>
      </c>
      <c r="F124" s="16" t="s">
        <v>386</v>
      </c>
      <c r="G124" s="13" t="s">
        <v>594</v>
      </c>
      <c r="I124" t="s">
        <v>12</v>
      </c>
      <c r="J124" t="e">
        <f>+_xlfn.XLOOKUP(E124,#REF!,F:F,"ZERO",0,1)</f>
        <v>#REF!</v>
      </c>
    </row>
    <row r="125" spans="5:10" x14ac:dyDescent="0.3">
      <c r="E125" s="16" t="s">
        <v>96</v>
      </c>
      <c r="F125" s="16" t="s">
        <v>556</v>
      </c>
      <c r="G125" s="13" t="s">
        <v>594</v>
      </c>
      <c r="H125" s="3"/>
      <c r="I125" t="s">
        <v>12</v>
      </c>
      <c r="J125" t="e">
        <f>+_xlfn.XLOOKUP(E125,#REF!,F:F,"ZERO",0,1)</f>
        <v>#REF!</v>
      </c>
    </row>
    <row r="126" spans="5:10" x14ac:dyDescent="0.3">
      <c r="E126" s="16" t="s">
        <v>395</v>
      </c>
      <c r="F126" s="16" t="s">
        <v>555</v>
      </c>
      <c r="G126" s="13" t="s">
        <v>593</v>
      </c>
      <c r="H126" s="3"/>
      <c r="I126" t="s">
        <v>12</v>
      </c>
      <c r="J126" t="e">
        <f>+_xlfn.XLOOKUP(E126,#REF!,F:F,"ZERO",0,1)</f>
        <v>#REF!</v>
      </c>
    </row>
    <row r="127" spans="5:10" x14ac:dyDescent="0.3">
      <c r="E127" s="16" t="s">
        <v>390</v>
      </c>
      <c r="F127" s="16" t="s">
        <v>554</v>
      </c>
      <c r="G127" s="13" t="s">
        <v>593</v>
      </c>
      <c r="H127" s="3"/>
      <c r="I127" t="s">
        <v>12</v>
      </c>
      <c r="J127" t="e">
        <f>+_xlfn.XLOOKUP(E127,#REF!,F:F,"ZERO",0,1)</f>
        <v>#REF!</v>
      </c>
    </row>
    <row r="128" spans="5:10" x14ac:dyDescent="0.3">
      <c r="E128" s="16" t="s">
        <v>396</v>
      </c>
      <c r="F128" s="16" t="s">
        <v>397</v>
      </c>
      <c r="G128" s="13" t="s">
        <v>593</v>
      </c>
      <c r="H128" s="3"/>
      <c r="I128" t="s">
        <v>12</v>
      </c>
      <c r="J128" t="e">
        <f>+_xlfn.XLOOKUP(E128,#REF!,F:F,"ZERO",0,1)</f>
        <v>#REF!</v>
      </c>
    </row>
    <row r="129" spans="5:10" x14ac:dyDescent="0.3">
      <c r="E129" s="16" t="s">
        <v>87</v>
      </c>
      <c r="F129" s="16" t="s">
        <v>400</v>
      </c>
      <c r="G129" s="13" t="s">
        <v>594</v>
      </c>
      <c r="H129" s="3"/>
      <c r="I129" t="s">
        <v>12</v>
      </c>
      <c r="J129" t="e">
        <f>+_xlfn.XLOOKUP(E129,#REF!,F:F,"ZERO",0,1)</f>
        <v>#REF!</v>
      </c>
    </row>
    <row r="130" spans="5:10" x14ac:dyDescent="0.3">
      <c r="E130" s="16" t="s">
        <v>401</v>
      </c>
      <c r="F130" s="16" t="s">
        <v>402</v>
      </c>
      <c r="G130" s="13" t="s">
        <v>594</v>
      </c>
      <c r="H130" s="3"/>
      <c r="I130" t="s">
        <v>12</v>
      </c>
      <c r="J130" t="e">
        <f>+_xlfn.XLOOKUP(E130,#REF!,F:F,"ZERO",0,1)</f>
        <v>#REF!</v>
      </c>
    </row>
    <row r="131" spans="5:10" x14ac:dyDescent="0.3">
      <c r="E131" s="16" t="s">
        <v>343</v>
      </c>
      <c r="F131" s="16" t="s">
        <v>553</v>
      </c>
      <c r="G131" s="13" t="s">
        <v>593</v>
      </c>
      <c r="H131" s="3"/>
      <c r="I131" t="s">
        <v>16</v>
      </c>
      <c r="J131" t="e">
        <f>+_xlfn.XLOOKUP(E131,#REF!,F:F,"ZERO",0,1)</f>
        <v>#REF!</v>
      </c>
    </row>
    <row r="132" spans="5:10" x14ac:dyDescent="0.3">
      <c r="E132" s="16" t="s">
        <v>406</v>
      </c>
      <c r="F132" s="16" t="s">
        <v>405</v>
      </c>
      <c r="G132" s="13" t="s">
        <v>593</v>
      </c>
      <c r="H132" s="3"/>
      <c r="I132" t="s">
        <v>12</v>
      </c>
      <c r="J132" t="e">
        <f>+_xlfn.XLOOKUP(E132,#REF!,F:F,"ZERO",0,1)</f>
        <v>#REF!</v>
      </c>
    </row>
    <row r="133" spans="5:10" x14ac:dyDescent="0.3">
      <c r="E133" s="16" t="s">
        <v>409</v>
      </c>
      <c r="F133" s="16" t="s">
        <v>408</v>
      </c>
      <c r="G133" s="13" t="s">
        <v>593</v>
      </c>
      <c r="H133" s="3"/>
      <c r="I133" t="s">
        <v>12</v>
      </c>
      <c r="J133" t="e">
        <f>+_xlfn.XLOOKUP(E133,#REF!,F:F,"ZERO",0,1)</f>
        <v>#REF!</v>
      </c>
    </row>
    <row r="134" spans="5:10" x14ac:dyDescent="0.3">
      <c r="E134" s="19" t="s">
        <v>103</v>
      </c>
      <c r="F134" s="19" t="s">
        <v>410</v>
      </c>
      <c r="G134" s="13" t="s">
        <v>631</v>
      </c>
      <c r="I134" t="s">
        <v>12</v>
      </c>
      <c r="J134" t="e">
        <f>+_xlfn.XLOOKUP(E134,#REF!,F:F,"ZERO",0,1)</f>
        <v>#REF!</v>
      </c>
    </row>
    <row r="135" spans="5:10" x14ac:dyDescent="0.3">
      <c r="E135" s="20" t="s">
        <v>128</v>
      </c>
      <c r="F135" s="20" t="s">
        <v>127</v>
      </c>
      <c r="G135" s="13" t="s">
        <v>599</v>
      </c>
      <c r="H135" s="3" t="s">
        <v>606</v>
      </c>
      <c r="I135" t="s">
        <v>12</v>
      </c>
      <c r="J135" t="e">
        <f>+_xlfn.XLOOKUP(E135,#REF!,F:F,"ZERO",0,1)</f>
        <v>#REF!</v>
      </c>
    </row>
    <row r="136" spans="5:10" x14ac:dyDescent="0.3">
      <c r="E136" s="20" t="s">
        <v>414</v>
      </c>
      <c r="F136" s="20" t="s">
        <v>413</v>
      </c>
      <c r="G136" s="13" t="s">
        <v>593</v>
      </c>
      <c r="H136" s="3"/>
      <c r="I136" t="s">
        <v>12</v>
      </c>
      <c r="J136" t="e">
        <f>+_xlfn.XLOOKUP(E136,#REF!,F:F,"ZERO",0,1)</f>
        <v>#REF!</v>
      </c>
    </row>
    <row r="137" spans="5:10" x14ac:dyDescent="0.3">
      <c r="E137" s="20" t="s">
        <v>416</v>
      </c>
      <c r="F137" s="20" t="s">
        <v>552</v>
      </c>
      <c r="G137" s="13" t="s">
        <v>593</v>
      </c>
      <c r="I137" t="s">
        <v>12</v>
      </c>
      <c r="J137" t="e">
        <f>+_xlfn.XLOOKUP(E137,#REF!,F:F,"ZERO",0,1)</f>
        <v>#REF!</v>
      </c>
    </row>
    <row r="138" spans="5:10" x14ac:dyDescent="0.3">
      <c r="E138" s="20" t="s">
        <v>82</v>
      </c>
      <c r="F138" s="20" t="s">
        <v>551</v>
      </c>
      <c r="G138" s="13" t="s">
        <v>593</v>
      </c>
      <c r="I138" t="s">
        <v>12</v>
      </c>
      <c r="J138" t="e">
        <f>+_xlfn.XLOOKUP(E138,#REF!,F:F,"ZERO",0,1)</f>
        <v>#REF!</v>
      </c>
    </row>
    <row r="139" spans="5:10" x14ac:dyDescent="0.3">
      <c r="E139" s="20" t="s">
        <v>420</v>
      </c>
      <c r="F139" s="20" t="s">
        <v>421</v>
      </c>
      <c r="G139" s="13" t="s">
        <v>593</v>
      </c>
      <c r="H139" s="3"/>
      <c r="I139" t="s">
        <v>12</v>
      </c>
      <c r="J139" t="e">
        <f>+_xlfn.XLOOKUP(E139,#REF!,F:F,"ZERO",0,1)</f>
        <v>#REF!</v>
      </c>
    </row>
    <row r="140" spans="5:10" x14ac:dyDescent="0.3">
      <c r="E140" s="20" t="s">
        <v>419</v>
      </c>
      <c r="F140" s="20" t="s">
        <v>550</v>
      </c>
      <c r="G140" s="13" t="s">
        <v>593</v>
      </c>
      <c r="I140" t="s">
        <v>12</v>
      </c>
      <c r="J140" t="e">
        <f>+_xlfn.XLOOKUP(E140,#REF!,F:F,"ZERO",0,1)</f>
        <v>#REF!</v>
      </c>
    </row>
    <row r="141" spans="5:10" x14ac:dyDescent="0.3">
      <c r="E141" s="20" t="s">
        <v>94</v>
      </c>
      <c r="F141" s="20" t="s">
        <v>549</v>
      </c>
      <c r="G141" s="13" t="s">
        <v>593</v>
      </c>
      <c r="H141" s="3"/>
      <c r="I141" t="s">
        <v>16</v>
      </c>
      <c r="J141" t="e">
        <f>+_xlfn.XLOOKUP(E141,#REF!,F:F,"ZERO",0,1)</f>
        <v>#REF!</v>
      </c>
    </row>
    <row r="142" spans="5:10" x14ac:dyDescent="0.3">
      <c r="E142" s="20" t="s">
        <v>99</v>
      </c>
      <c r="F142" s="20" t="s">
        <v>548</v>
      </c>
      <c r="G142" s="13" t="s">
        <v>593</v>
      </c>
      <c r="H142" s="3"/>
      <c r="I142" t="s">
        <v>12</v>
      </c>
      <c r="J142" t="e">
        <f>+_xlfn.XLOOKUP(E142,#REF!,F:F,"ZERO",0,1)</f>
        <v>#REF!</v>
      </c>
    </row>
    <row r="143" spans="5:10" x14ac:dyDescent="0.3">
      <c r="E143" s="20" t="s">
        <v>111</v>
      </c>
      <c r="F143" s="20" t="s">
        <v>446</v>
      </c>
      <c r="G143" t="s">
        <v>594</v>
      </c>
      <c r="I143" t="s">
        <v>12</v>
      </c>
      <c r="J143" t="e">
        <f>+_xlfn.XLOOKUP(E143,#REF!,F:F,"ZERO",0,1)</f>
        <v>#REF!</v>
      </c>
    </row>
    <row r="144" spans="5:10" x14ac:dyDescent="0.3">
      <c r="E144" s="20" t="s">
        <v>58</v>
      </c>
      <c r="F144" s="20" t="s">
        <v>441</v>
      </c>
      <c r="G144" s="13" t="s">
        <v>593</v>
      </c>
      <c r="H144" s="3"/>
      <c r="I144" t="s">
        <v>12</v>
      </c>
      <c r="J144" t="e">
        <f>+_xlfn.XLOOKUP(E144,#REF!,F:F,"ZERO",0,1)</f>
        <v>#REF!</v>
      </c>
    </row>
    <row r="145" spans="4:10" x14ac:dyDescent="0.3">
      <c r="E145" s="20" t="s">
        <v>77</v>
      </c>
      <c r="F145" s="20" t="s">
        <v>547</v>
      </c>
      <c r="G145" t="s">
        <v>594</v>
      </c>
      <c r="H145" s="3"/>
      <c r="I145" t="s">
        <v>16</v>
      </c>
      <c r="J145" t="e">
        <f>+_xlfn.XLOOKUP(E145,#REF!,F:F,"ZERO",0,1)</f>
        <v>#REF!</v>
      </c>
    </row>
    <row r="146" spans="4:10" x14ac:dyDescent="0.3">
      <c r="E146" s="20" t="s">
        <v>433</v>
      </c>
      <c r="F146" s="20" t="s">
        <v>434</v>
      </c>
      <c r="G146" t="s">
        <v>594</v>
      </c>
      <c r="H146" s="3"/>
      <c r="I146" t="s">
        <v>12</v>
      </c>
      <c r="J146" t="e">
        <f>+_xlfn.XLOOKUP(E146,#REF!,F:F,"ZERO",0,1)</f>
        <v>#REF!</v>
      </c>
    </row>
    <row r="147" spans="4:10" x14ac:dyDescent="0.3">
      <c r="E147" s="20" t="s">
        <v>79</v>
      </c>
      <c r="F147" s="20" t="s">
        <v>546</v>
      </c>
      <c r="G147" t="s">
        <v>594</v>
      </c>
      <c r="H147" s="3"/>
      <c r="I147" t="s">
        <v>16</v>
      </c>
      <c r="J147" t="e">
        <f>+_xlfn.XLOOKUP(E147,#REF!,F:F,"ZERO",0,1)</f>
        <v>#REF!</v>
      </c>
    </row>
    <row r="148" spans="4:10" x14ac:dyDescent="0.3">
      <c r="D148" t="s">
        <v>687</v>
      </c>
      <c r="E148" s="20" t="s">
        <v>438</v>
      </c>
      <c r="F148" s="20" t="s">
        <v>545</v>
      </c>
      <c r="G148" s="13" t="s">
        <v>593</v>
      </c>
      <c r="H148" s="3"/>
      <c r="I148" t="s">
        <v>12</v>
      </c>
      <c r="J148" t="e">
        <f>+_xlfn.XLOOKUP(E148,#REF!,F:F,"ZERO",0,1)</f>
        <v>#REF!</v>
      </c>
    </row>
    <row r="149" spans="4:10" x14ac:dyDescent="0.3">
      <c r="E149" s="20" t="s">
        <v>444</v>
      </c>
      <c r="F149" s="20" t="s">
        <v>544</v>
      </c>
      <c r="G149" t="s">
        <v>594</v>
      </c>
      <c r="H149" s="3"/>
      <c r="I149" t="s">
        <v>12</v>
      </c>
      <c r="J149" t="e">
        <f>+_xlfn.XLOOKUP(E149,#REF!,F:F,"ZERO",0,1)</f>
        <v>#REF!</v>
      </c>
    </row>
    <row r="150" spans="4:10" x14ac:dyDescent="0.3">
      <c r="E150" s="20" t="s">
        <v>424</v>
      </c>
      <c r="F150" s="20" t="s">
        <v>543</v>
      </c>
      <c r="G150" t="s">
        <v>594</v>
      </c>
      <c r="H150" s="3"/>
      <c r="I150" t="s">
        <v>16</v>
      </c>
      <c r="J150" t="e">
        <f>+_xlfn.XLOOKUP(E150,#REF!,F:F,"ZERO",0,1)</f>
        <v>#REF!</v>
      </c>
    </row>
    <row r="151" spans="4:10" x14ac:dyDescent="0.3">
      <c r="E151" s="20" t="s">
        <v>110</v>
      </c>
      <c r="F151" s="20" t="s">
        <v>542</v>
      </c>
      <c r="G151" t="s">
        <v>594</v>
      </c>
      <c r="H151" s="3"/>
      <c r="I151" t="s">
        <v>16</v>
      </c>
      <c r="J151" t="e">
        <f>+_xlfn.XLOOKUP(E151,#REF!,F:F,"ZERO",0,1)</f>
        <v>#REF!</v>
      </c>
    </row>
    <row r="152" spans="4:10" x14ac:dyDescent="0.3">
      <c r="E152" s="20" t="s">
        <v>426</v>
      </c>
      <c r="F152" s="20" t="s">
        <v>541</v>
      </c>
      <c r="G152" t="s">
        <v>594</v>
      </c>
      <c r="H152" s="3" t="s">
        <v>606</v>
      </c>
      <c r="I152" t="s">
        <v>16</v>
      </c>
      <c r="J152" t="e">
        <f>+_xlfn.XLOOKUP(E152,#REF!,F:F,"ZERO",0,1)</f>
        <v>#REF!</v>
      </c>
    </row>
    <row r="153" spans="4:10" x14ac:dyDescent="0.3">
      <c r="E153" s="20" t="s">
        <v>427</v>
      </c>
      <c r="F153" s="20" t="s">
        <v>540</v>
      </c>
      <c r="G153" t="s">
        <v>594</v>
      </c>
      <c r="H153" s="3"/>
      <c r="I153" t="s">
        <v>12</v>
      </c>
      <c r="J153" t="e">
        <f>+_xlfn.XLOOKUP(E153,#REF!,F:F,"ZERO",0,1)</f>
        <v>#REF!</v>
      </c>
    </row>
    <row r="154" spans="4:10" x14ac:dyDescent="0.3">
      <c r="E154" s="20" t="s">
        <v>429</v>
      </c>
      <c r="F154" s="20" t="s">
        <v>430</v>
      </c>
      <c r="G154" t="s">
        <v>594</v>
      </c>
      <c r="H154" s="3"/>
      <c r="I154" t="s">
        <v>16</v>
      </c>
      <c r="J154" t="e">
        <f>+_xlfn.XLOOKUP(E154,#REF!,F:F,"ZERO",0,1)</f>
        <v>#REF!</v>
      </c>
    </row>
    <row r="155" spans="4:10" x14ac:dyDescent="0.3">
      <c r="E155" s="20" t="s">
        <v>451</v>
      </c>
      <c r="F155" s="20" t="s">
        <v>452</v>
      </c>
      <c r="G155" t="s">
        <v>594</v>
      </c>
      <c r="H155" s="3"/>
      <c r="I155" t="s">
        <v>12</v>
      </c>
      <c r="J155" t="e">
        <f>+_xlfn.XLOOKUP(E155,#REF!,F:F,"ZERO",0,1)</f>
        <v>#REF!</v>
      </c>
    </row>
    <row r="156" spans="4:10" x14ac:dyDescent="0.3">
      <c r="E156" s="20" t="s">
        <v>52</v>
      </c>
      <c r="F156" s="20" t="s">
        <v>539</v>
      </c>
      <c r="G156" s="12" t="s">
        <v>594</v>
      </c>
      <c r="H156" s="3"/>
      <c r="I156" t="s">
        <v>16</v>
      </c>
      <c r="J156" t="e">
        <f>+_xlfn.XLOOKUP(E156,#REF!,F:F,"ZERO",0,1)</f>
        <v>#REF!</v>
      </c>
    </row>
    <row r="157" spans="4:10" x14ac:dyDescent="0.3">
      <c r="E157" s="20" t="s">
        <v>61</v>
      </c>
      <c r="F157" s="20" t="s">
        <v>538</v>
      </c>
      <c r="G157" s="13" t="s">
        <v>599</v>
      </c>
      <c r="H157" s="3"/>
      <c r="I157" t="s">
        <v>12</v>
      </c>
      <c r="J157" t="e">
        <f>+_xlfn.XLOOKUP(E157,#REF!,F:F,"ZERO",0,1)</f>
        <v>#REF!</v>
      </c>
    </row>
    <row r="158" spans="4:10" x14ac:dyDescent="0.3">
      <c r="E158" s="20" t="s">
        <v>450</v>
      </c>
      <c r="F158" s="20" t="s">
        <v>449</v>
      </c>
      <c r="G158" s="13" t="s">
        <v>593</v>
      </c>
      <c r="H158" s="3"/>
      <c r="I158" t="s">
        <v>16</v>
      </c>
      <c r="J158" t="e">
        <f>+_xlfn.XLOOKUP(E158,#REF!,F:F,"ZERO",0,1)</f>
        <v>#REF!</v>
      </c>
    </row>
    <row r="159" spans="4:10" x14ac:dyDescent="0.3">
      <c r="E159" s="20" t="s">
        <v>457</v>
      </c>
      <c r="F159" s="20" t="s">
        <v>537</v>
      </c>
      <c r="G159" t="s">
        <v>594</v>
      </c>
      <c r="H159" s="3" t="s">
        <v>606</v>
      </c>
      <c r="I159" t="s">
        <v>12</v>
      </c>
      <c r="J159" t="e">
        <f>+_xlfn.XLOOKUP(E159,#REF!,F:F,"ZERO",0,1)</f>
        <v>#REF!</v>
      </c>
    </row>
    <row r="160" spans="4:10" x14ac:dyDescent="0.3">
      <c r="E160" s="20" t="s">
        <v>454</v>
      </c>
      <c r="F160" s="20" t="s">
        <v>455</v>
      </c>
      <c r="G160" t="s">
        <v>594</v>
      </c>
      <c r="H160" s="3" t="s">
        <v>606</v>
      </c>
      <c r="I160" t="s">
        <v>16</v>
      </c>
      <c r="J160" t="e">
        <f>+_xlfn.XLOOKUP(E160,#REF!,F:F,"ZERO",0,1)</f>
        <v>#REF!</v>
      </c>
    </row>
    <row r="161" spans="4:10" x14ac:dyDescent="0.3">
      <c r="E161" s="20" t="s">
        <v>63</v>
      </c>
      <c r="F161" s="20" t="s">
        <v>536</v>
      </c>
      <c r="G161" s="13" t="s">
        <v>593</v>
      </c>
      <c r="H161" s="3"/>
      <c r="I161" t="s">
        <v>16</v>
      </c>
      <c r="J161" t="e">
        <f>+_xlfn.XLOOKUP(E161,#REF!,F:F,"ZERO",0,1)</f>
        <v>#REF!</v>
      </c>
    </row>
    <row r="162" spans="4:10" x14ac:dyDescent="0.3">
      <c r="D162" t="s">
        <v>687</v>
      </c>
      <c r="E162" s="20" t="s">
        <v>113</v>
      </c>
      <c r="F162" s="20" t="s">
        <v>535</v>
      </c>
      <c r="G162" s="13" t="s">
        <v>593</v>
      </c>
      <c r="I162" t="s">
        <v>12</v>
      </c>
      <c r="J162" t="e">
        <f>+_xlfn.XLOOKUP(E162,#REF!,F:F,"ZERO",0,1)</f>
        <v>#REF!</v>
      </c>
    </row>
    <row r="163" spans="4:10" x14ac:dyDescent="0.3">
      <c r="E163" s="20" t="s">
        <v>83</v>
      </c>
      <c r="F163" s="20" t="s">
        <v>534</v>
      </c>
      <c r="G163" t="s">
        <v>594</v>
      </c>
      <c r="I163" t="s">
        <v>16</v>
      </c>
      <c r="J163" t="e">
        <f>+_xlfn.XLOOKUP(E163,#REF!,F:F,"ZERO",0,1)</f>
        <v>#REF!</v>
      </c>
    </row>
    <row r="164" spans="4:10" x14ac:dyDescent="0.3">
      <c r="E164" s="20" t="s">
        <v>471</v>
      </c>
      <c r="F164" s="20" t="s">
        <v>470</v>
      </c>
      <c r="G164" s="13" t="s">
        <v>593</v>
      </c>
      <c r="H164" s="3"/>
      <c r="I164" t="s">
        <v>12</v>
      </c>
      <c r="J164" t="e">
        <f>+_xlfn.XLOOKUP(E164,#REF!,F:F,"ZERO",0,1)</f>
        <v>#REF!</v>
      </c>
    </row>
    <row r="165" spans="4:10" x14ac:dyDescent="0.3">
      <c r="E165" s="20" t="s">
        <v>466</v>
      </c>
      <c r="F165" s="20" t="s">
        <v>467</v>
      </c>
      <c r="G165" t="s">
        <v>594</v>
      </c>
      <c r="H165" s="3"/>
      <c r="I165" t="s">
        <v>16</v>
      </c>
      <c r="J165" t="e">
        <f>+_xlfn.XLOOKUP(E165,#REF!,F:F,"ZERO",0,1)</f>
        <v>#REF!</v>
      </c>
    </row>
    <row r="166" spans="4:10" x14ac:dyDescent="0.3">
      <c r="E166" s="20" t="s">
        <v>462</v>
      </c>
      <c r="F166" s="20" t="s">
        <v>463</v>
      </c>
      <c r="G166" s="13" t="s">
        <v>593</v>
      </c>
      <c r="H166" s="3"/>
      <c r="I166" t="s">
        <v>12</v>
      </c>
      <c r="J166" t="e">
        <f>+_xlfn.XLOOKUP(E166,#REF!,F:F,"ZERO",0,1)</f>
        <v>#REF!</v>
      </c>
    </row>
    <row r="167" spans="4:10" x14ac:dyDescent="0.3">
      <c r="E167" s="20" t="s">
        <v>482</v>
      </c>
      <c r="F167" s="20" t="s">
        <v>533</v>
      </c>
      <c r="G167" s="13" t="s">
        <v>593</v>
      </c>
      <c r="H167" s="3"/>
      <c r="I167" t="s">
        <v>16</v>
      </c>
      <c r="J167" t="e">
        <f>+_xlfn.XLOOKUP(E167,#REF!,F:F,"ZERO",0,1)</f>
        <v>#REF!</v>
      </c>
    </row>
    <row r="168" spans="4:10" x14ac:dyDescent="0.3">
      <c r="E168" s="20" t="s">
        <v>473</v>
      </c>
      <c r="F168" s="20" t="s">
        <v>532</v>
      </c>
      <c r="G168" s="13" t="s">
        <v>593</v>
      </c>
      <c r="I168" t="s">
        <v>12</v>
      </c>
      <c r="J168" t="e">
        <f>+_xlfn.XLOOKUP(E168,#REF!,F:F,"ZERO",0,1)</f>
        <v>#REF!</v>
      </c>
    </row>
    <row r="169" spans="4:10" x14ac:dyDescent="0.3">
      <c r="E169" s="20" t="s">
        <v>480</v>
      </c>
      <c r="F169" s="20" t="s">
        <v>531</v>
      </c>
      <c r="G169" s="13" t="s">
        <v>593</v>
      </c>
      <c r="H169" t="s">
        <v>606</v>
      </c>
      <c r="I169" t="s">
        <v>16</v>
      </c>
      <c r="J169" t="e">
        <f>+_xlfn.XLOOKUP(E169,#REF!,F:F,"ZERO",0,1)</f>
        <v>#REF!</v>
      </c>
    </row>
    <row r="170" spans="4:10" x14ac:dyDescent="0.3">
      <c r="E170" s="21" t="s">
        <v>478</v>
      </c>
      <c r="F170" s="21" t="s">
        <v>530</v>
      </c>
      <c r="G170" t="s">
        <v>594</v>
      </c>
      <c r="H170" s="3"/>
      <c r="I170" t="s">
        <v>12</v>
      </c>
      <c r="J170" t="e">
        <f>+_xlfn.XLOOKUP(E170,#REF!,F:F,"ZERO",0,1)</f>
        <v>#REF!</v>
      </c>
    </row>
    <row r="171" spans="4:10" x14ac:dyDescent="0.3">
      <c r="E171" s="20" t="s">
        <v>477</v>
      </c>
      <c r="F171" s="20" t="s">
        <v>476</v>
      </c>
      <c r="G171" t="s">
        <v>594</v>
      </c>
      <c r="H171" s="3"/>
      <c r="I171" t="s">
        <v>16</v>
      </c>
      <c r="J171" t="e">
        <f>+_xlfn.XLOOKUP(E171,#REF!,F:F,"ZERO",0,1)</f>
        <v>#REF!</v>
      </c>
    </row>
    <row r="172" spans="4:10" x14ac:dyDescent="0.3">
      <c r="E172" s="20" t="s">
        <v>68</v>
      </c>
      <c r="F172" s="20" t="s">
        <v>529</v>
      </c>
      <c r="G172" s="13" t="s">
        <v>593</v>
      </c>
      <c r="H172" s="3"/>
      <c r="I172" t="s">
        <v>12</v>
      </c>
      <c r="J172" t="e">
        <f>+_xlfn.XLOOKUP(E172,#REF!,F:F,"ZERO",0,1)</f>
        <v>#REF!</v>
      </c>
    </row>
    <row r="173" spans="4:10" x14ac:dyDescent="0.3">
      <c r="E173" s="20" t="s">
        <v>489</v>
      </c>
      <c r="F173" s="20" t="s">
        <v>490</v>
      </c>
      <c r="G173" s="13" t="s">
        <v>593</v>
      </c>
      <c r="H173" s="3"/>
      <c r="I173" t="s">
        <v>16</v>
      </c>
      <c r="J173" t="e">
        <f>+_xlfn.XLOOKUP(E173,#REF!,F:F,"ZERO",0,1)</f>
        <v>#REF!</v>
      </c>
    </row>
    <row r="174" spans="4:10" x14ac:dyDescent="0.3">
      <c r="E174" s="20" t="s">
        <v>486</v>
      </c>
      <c r="F174" s="20" t="s">
        <v>487</v>
      </c>
      <c r="G174" s="13" t="s">
        <v>593</v>
      </c>
      <c r="H174" s="3"/>
      <c r="I174" t="s">
        <v>12</v>
      </c>
      <c r="J174" t="e">
        <f>+_xlfn.XLOOKUP(E174,#REF!,F:F,"ZERO",0,1)</f>
        <v>#REF!</v>
      </c>
    </row>
    <row r="175" spans="4:10" x14ac:dyDescent="0.3">
      <c r="E175" s="20" t="s">
        <v>485</v>
      </c>
      <c r="F175" s="20" t="s">
        <v>528</v>
      </c>
      <c r="G175" s="13" t="s">
        <v>593</v>
      </c>
      <c r="H175" s="3"/>
      <c r="I175" t="s">
        <v>16</v>
      </c>
      <c r="J175" t="e">
        <f>+_xlfn.XLOOKUP(E175,#REF!,F:F,"ZERO",0,1)</f>
        <v>#REF!</v>
      </c>
    </row>
    <row r="176" spans="4:10" x14ac:dyDescent="0.3">
      <c r="E176" s="20" t="s">
        <v>53</v>
      </c>
      <c r="F176" s="20" t="s">
        <v>527</v>
      </c>
      <c r="G176" s="13" t="s">
        <v>593</v>
      </c>
      <c r="H176" s="3"/>
      <c r="I176" t="s">
        <v>12</v>
      </c>
      <c r="J176" t="e">
        <f>+_xlfn.XLOOKUP(E176,#REF!,F:F,"ZERO",0,1)</f>
        <v>#REF!</v>
      </c>
    </row>
    <row r="177" spans="5:10" x14ac:dyDescent="0.3">
      <c r="E177" s="20" t="s">
        <v>503</v>
      </c>
      <c r="F177" s="20" t="s">
        <v>502</v>
      </c>
      <c r="G177" t="s">
        <v>594</v>
      </c>
      <c r="H177" s="3"/>
      <c r="I177" t="s">
        <v>16</v>
      </c>
      <c r="J177" t="e">
        <f>+_xlfn.XLOOKUP(E177,#REF!,F:F,"ZERO",0,1)</f>
        <v>#REF!</v>
      </c>
    </row>
    <row r="178" spans="5:10" x14ac:dyDescent="0.3">
      <c r="E178" s="20" t="s">
        <v>498</v>
      </c>
      <c r="F178" s="20" t="s">
        <v>499</v>
      </c>
      <c r="G178" t="s">
        <v>594</v>
      </c>
      <c r="H178" t="s">
        <v>606</v>
      </c>
      <c r="I178" t="s">
        <v>12</v>
      </c>
      <c r="J178" t="e">
        <f>+_xlfn.XLOOKUP(E178,#REF!,F:F,"ZERO",0,1)</f>
        <v>#REF!</v>
      </c>
    </row>
    <row r="179" spans="5:10" x14ac:dyDescent="0.3">
      <c r="E179" s="20" t="s">
        <v>70</v>
      </c>
      <c r="F179" s="20" t="s">
        <v>496</v>
      </c>
      <c r="G179" s="13" t="s">
        <v>594</v>
      </c>
      <c r="I179" t="s">
        <v>16</v>
      </c>
      <c r="J179" t="e">
        <f>+_xlfn.XLOOKUP(E179,#REF!,F:F,"ZERO",0,1)</f>
        <v>#REF!</v>
      </c>
    </row>
    <row r="180" spans="5:10" x14ac:dyDescent="0.3">
      <c r="E180" s="20" t="s">
        <v>495</v>
      </c>
      <c r="F180" s="20" t="s">
        <v>526</v>
      </c>
      <c r="G180" t="s">
        <v>599</v>
      </c>
      <c r="I180" t="s">
        <v>12</v>
      </c>
      <c r="J180" t="e">
        <f>+_xlfn.XLOOKUP(E180,#REF!,F:F,"ZERO",0,1)</f>
        <v>#REF!</v>
      </c>
    </row>
    <row r="181" spans="5:10" x14ac:dyDescent="0.3">
      <c r="E181" s="22" t="s">
        <v>495</v>
      </c>
      <c r="F181" s="22" t="s">
        <v>526</v>
      </c>
      <c r="G181" t="s">
        <v>599</v>
      </c>
      <c r="I181" t="s">
        <v>16</v>
      </c>
      <c r="J181" t="e">
        <f>+_xlfn.XLOOKUP(E181,#REF!,F:F,"ZERO",0,1)</f>
        <v>#REF!</v>
      </c>
    </row>
    <row r="182" spans="5:10" x14ac:dyDescent="0.3">
      <c r="E182" s="16" t="s">
        <v>494</v>
      </c>
      <c r="F182" s="20" t="s">
        <v>493</v>
      </c>
      <c r="G182" s="13" t="s">
        <v>593</v>
      </c>
      <c r="H182" s="3"/>
      <c r="I182" t="s">
        <v>16</v>
      </c>
      <c r="J182" t="e">
        <f>+_xlfn.XLOOKUP(E182,#REF!,F:F,"ZERO",0,1)</f>
        <v>#REF!</v>
      </c>
    </row>
    <row r="183" spans="5:10" x14ac:dyDescent="0.3">
      <c r="E183" s="23" t="s">
        <v>506</v>
      </c>
      <c r="F183" s="24" t="s">
        <v>505</v>
      </c>
      <c r="G183" t="s">
        <v>594</v>
      </c>
      <c r="H183" s="3"/>
      <c r="I183" t="s">
        <v>12</v>
      </c>
      <c r="J183" t="e">
        <f>+_xlfn.XLOOKUP(E183,#REF!,F:F,"ZERO",0,1)</f>
        <v>#REF!</v>
      </c>
    </row>
    <row r="184" spans="5:10" x14ac:dyDescent="0.3">
      <c r="E184" s="25" t="s">
        <v>515</v>
      </c>
      <c r="F184" s="24" t="s">
        <v>514</v>
      </c>
      <c r="G184" t="s">
        <v>594</v>
      </c>
      <c r="I184" t="s">
        <v>16</v>
      </c>
      <c r="J184" t="e">
        <f>+_xlfn.XLOOKUP(E184,#REF!,F:F,"ZERO",0,1)</f>
        <v>#REF!</v>
      </c>
    </row>
    <row r="185" spans="5:10" x14ac:dyDescent="0.3">
      <c r="E185" s="25" t="s">
        <v>78</v>
      </c>
      <c r="F185" s="24" t="s">
        <v>511</v>
      </c>
      <c r="G185" t="s">
        <v>594</v>
      </c>
      <c r="I185" t="s">
        <v>12</v>
      </c>
      <c r="J185" t="e">
        <f>+_xlfn.XLOOKUP(E185,#REF!,F:F,"ZERO",0,1)</f>
        <v>#REF!</v>
      </c>
    </row>
    <row r="186" spans="5:10" x14ac:dyDescent="0.3">
      <c r="E186" s="25" t="s">
        <v>97</v>
      </c>
      <c r="F186" s="24" t="s">
        <v>510</v>
      </c>
      <c r="G186" t="s">
        <v>594</v>
      </c>
      <c r="H186" s="3"/>
      <c r="I186" t="s">
        <v>16</v>
      </c>
      <c r="J186" t="e">
        <f>+_xlfn.XLOOKUP(E186,#REF!,F:F,"ZERO",0,1)</f>
        <v>#REF!</v>
      </c>
    </row>
    <row r="187" spans="5:10" x14ac:dyDescent="0.3">
      <c r="E187" s="25" t="s">
        <v>85</v>
      </c>
      <c r="F187" s="26" t="s">
        <v>508</v>
      </c>
      <c r="G187" s="13" t="s">
        <v>631</v>
      </c>
      <c r="H187" s="3"/>
      <c r="I187" t="s">
        <v>12</v>
      </c>
      <c r="J187" t="e">
        <f>+_xlfn.XLOOKUP(E187,#REF!,F:F,"ZERO",0,1)</f>
        <v>#REF!</v>
      </c>
    </row>
    <row r="188" spans="5:10" x14ac:dyDescent="0.3">
      <c r="E188" s="13" t="s">
        <v>517</v>
      </c>
      <c r="F188" s="14" t="s">
        <v>524</v>
      </c>
      <c r="G188" s="13" t="s">
        <v>593</v>
      </c>
      <c r="H188" s="3"/>
      <c r="I188" t="s">
        <v>16</v>
      </c>
      <c r="J188" t="e">
        <f>+_xlfn.XLOOKUP(E188,#REF!,F:F,"ZERO",0,1)</f>
        <v>#REF!</v>
      </c>
    </row>
    <row r="189" spans="5:10" x14ac:dyDescent="0.3">
      <c r="E189" s="13" t="s">
        <v>67</v>
      </c>
      <c r="F189" s="14" t="s">
        <v>523</v>
      </c>
      <c r="G189" s="12" t="s">
        <v>593</v>
      </c>
      <c r="H189" s="3"/>
      <c r="I189" t="s">
        <v>12</v>
      </c>
      <c r="J189" t="e">
        <f>+_xlfn.XLOOKUP(E189,#REF!,F:F,"ZERO",0,1)</f>
        <v>#REF!</v>
      </c>
    </row>
    <row r="190" spans="5:10" x14ac:dyDescent="0.3">
      <c r="E190" s="13" t="s">
        <v>596</v>
      </c>
      <c r="F190" s="14" t="s">
        <v>597</v>
      </c>
      <c r="G190" s="13" t="s">
        <v>599</v>
      </c>
      <c r="H190" s="3"/>
      <c r="I190" t="s">
        <v>12</v>
      </c>
      <c r="J190" t="e">
        <f>+_xlfn.XLOOKUP(E190,#REF!,F:F,"ZERO",0,1)</f>
        <v>#REF!</v>
      </c>
    </row>
    <row r="191" spans="5:10" x14ac:dyDescent="0.3">
      <c r="E191" s="13" t="s">
        <v>605</v>
      </c>
      <c r="F191" s="14" t="s">
        <v>609</v>
      </c>
      <c r="G191" t="s">
        <v>599</v>
      </c>
      <c r="H191" s="3"/>
      <c r="I191" t="s">
        <v>12</v>
      </c>
      <c r="J191" t="e">
        <f>+_xlfn.XLOOKUP(E191,#REF!,F:F,"ZERO",0,1)</f>
        <v>#REF!</v>
      </c>
    </row>
    <row r="192" spans="5:10" x14ac:dyDescent="0.3">
      <c r="E192" s="13" t="s">
        <v>607</v>
      </c>
      <c r="F192" s="14" t="s">
        <v>611</v>
      </c>
      <c r="G192" t="s">
        <v>594</v>
      </c>
      <c r="H192" s="3"/>
      <c r="I192" t="s">
        <v>12</v>
      </c>
      <c r="J192" t="e">
        <f>+_xlfn.XLOOKUP(E192,#REF!,F:F,"ZERO",0,1)</f>
        <v>#REF!</v>
      </c>
    </row>
    <row r="193" spans="4:11" x14ac:dyDescent="0.3">
      <c r="E193" s="13" t="s">
        <v>613</v>
      </c>
      <c r="F193" s="14" t="s">
        <v>612</v>
      </c>
      <c r="G193" s="12" t="s">
        <v>631</v>
      </c>
      <c r="H193" s="3"/>
      <c r="I193" t="s">
        <v>12</v>
      </c>
      <c r="J193" t="e">
        <f>+_xlfn.XLOOKUP(E193,#REF!,F:F,"ZERO",0,1)</f>
        <v>#REF!</v>
      </c>
    </row>
    <row r="194" spans="4:11" x14ac:dyDescent="0.3">
      <c r="D194" t="s">
        <v>687</v>
      </c>
      <c r="E194" s="13" t="s">
        <v>615</v>
      </c>
      <c r="F194" s="14" t="s">
        <v>617</v>
      </c>
      <c r="G194" s="13" t="s">
        <v>593</v>
      </c>
      <c r="I194" t="s">
        <v>12</v>
      </c>
      <c r="J194" t="e">
        <f>+_xlfn.XLOOKUP(E194,#REF!,F:F,"ZERO",0,1)</f>
        <v>#REF!</v>
      </c>
    </row>
    <row r="195" spans="4:11" x14ac:dyDescent="0.3">
      <c r="E195" s="13" t="s">
        <v>604</v>
      </c>
      <c r="F195" s="14" t="s">
        <v>619</v>
      </c>
      <c r="G195" s="13" t="s">
        <v>593</v>
      </c>
      <c r="I195" t="s">
        <v>12</v>
      </c>
      <c r="J195" t="e">
        <f>+_xlfn.XLOOKUP(E195,#REF!,F:F,"ZERO",0,1)</f>
        <v>#REF!</v>
      </c>
    </row>
    <row r="196" spans="4:11" x14ac:dyDescent="0.3">
      <c r="E196" s="13" t="s">
        <v>620</v>
      </c>
      <c r="F196" s="14" t="s">
        <v>622</v>
      </c>
      <c r="G196" s="13" t="s">
        <v>593</v>
      </c>
      <c r="H196" s="3"/>
      <c r="I196" t="s">
        <v>12</v>
      </c>
      <c r="J196" t="e">
        <f>+_xlfn.XLOOKUP(E196,#REF!,F:F,"ZERO",0,1)</f>
        <v>#REF!</v>
      </c>
    </row>
    <row r="197" spans="4:11" x14ac:dyDescent="0.3">
      <c r="E197" s="13" t="s">
        <v>624</v>
      </c>
      <c r="F197" s="14" t="s">
        <v>623</v>
      </c>
      <c r="G197" s="13" t="s">
        <v>593</v>
      </c>
      <c r="H197" s="3"/>
      <c r="I197" t="s">
        <v>12</v>
      </c>
      <c r="J197" t="e">
        <f>+_xlfn.XLOOKUP(E197,#REF!,F:F,"ZERO",0,1)</f>
        <v>#REF!</v>
      </c>
    </row>
    <row r="198" spans="4:11" x14ac:dyDescent="0.3">
      <c r="E198" s="13" t="s">
        <v>626</v>
      </c>
      <c r="F198" s="26" t="s">
        <v>628</v>
      </c>
      <c r="G198" s="12" t="s">
        <v>593</v>
      </c>
      <c r="H198" s="3"/>
      <c r="I198" t="s">
        <v>12</v>
      </c>
      <c r="J198" t="e">
        <f>+_xlfn.XLOOKUP(E198,#REF!,F:F,"ZERO",0,1)</f>
        <v>#REF!</v>
      </c>
    </row>
    <row r="199" spans="4:11" x14ac:dyDescent="0.3">
      <c r="E199" s="13" t="s">
        <v>633</v>
      </c>
      <c r="F199" s="14" t="s">
        <v>632</v>
      </c>
      <c r="G199" s="15" t="s">
        <v>593</v>
      </c>
      <c r="H199" s="3"/>
      <c r="I199" t="s">
        <v>12</v>
      </c>
      <c r="J199" t="e">
        <f>+_xlfn.XLOOKUP(E199,#REF!,F:F,"ZERO",0,1)</f>
        <v>#REF!</v>
      </c>
    </row>
    <row r="200" spans="4:11" x14ac:dyDescent="0.3">
      <c r="E200" s="13" t="s">
        <v>636</v>
      </c>
      <c r="F200" s="14" t="s">
        <v>635</v>
      </c>
      <c r="G200" s="15" t="s">
        <v>631</v>
      </c>
      <c r="I200" t="s">
        <v>12</v>
      </c>
      <c r="J200" t="e">
        <f>+_xlfn.XLOOKUP(E200,#REF!,F:F,"ZERO",0,1)</f>
        <v>#REF!</v>
      </c>
    </row>
    <row r="201" spans="4:11" x14ac:dyDescent="0.3">
      <c r="E201" s="13" t="s">
        <v>639</v>
      </c>
      <c r="F201" s="14" t="s">
        <v>638</v>
      </c>
      <c r="G201" s="15" t="s">
        <v>631</v>
      </c>
      <c r="I201" t="s">
        <v>12</v>
      </c>
      <c r="J201" t="e">
        <f>+_xlfn.XLOOKUP(E201,#REF!,F:F,"ZERO",0,1)</f>
        <v>#REF!</v>
      </c>
    </row>
    <row r="202" spans="4:11" x14ac:dyDescent="0.3">
      <c r="E202" s="13" t="s">
        <v>642</v>
      </c>
      <c r="F202" s="14" t="s">
        <v>641</v>
      </c>
      <c r="G202" s="15" t="s">
        <v>631</v>
      </c>
      <c r="I202" t="s">
        <v>12</v>
      </c>
      <c r="J202" t="e">
        <f>+_xlfn.XLOOKUP(E202,#REF!,F:F,"ZERO",0,1)</f>
        <v>#REF!</v>
      </c>
    </row>
    <row r="203" spans="4:11" x14ac:dyDescent="0.3">
      <c r="E203" s="13" t="s">
        <v>645</v>
      </c>
      <c r="F203" s="14" t="s">
        <v>644</v>
      </c>
      <c r="G203" t="s">
        <v>594</v>
      </c>
      <c r="I203" t="s">
        <v>12</v>
      </c>
      <c r="J203" t="e">
        <f>+_xlfn.XLOOKUP(E203,#REF!,F:F,"ZERO",0,1)</f>
        <v>#REF!</v>
      </c>
    </row>
    <row r="204" spans="4:11" x14ac:dyDescent="0.3">
      <c r="E204" s="13" t="s">
        <v>648</v>
      </c>
      <c r="F204" s="14" t="s">
        <v>647</v>
      </c>
      <c r="G204" s="15" t="s">
        <v>631</v>
      </c>
      <c r="I204" t="s">
        <v>12</v>
      </c>
      <c r="J204" t="e">
        <f>+_xlfn.XLOOKUP(E204,#REF!,F:F,"ZERO",0,1)</f>
        <v>#REF!</v>
      </c>
    </row>
    <row r="205" spans="4:11" x14ac:dyDescent="0.3">
      <c r="E205" s="13" t="s">
        <v>651</v>
      </c>
      <c r="F205" s="14" t="s">
        <v>743</v>
      </c>
      <c r="G205" s="15" t="s">
        <v>631</v>
      </c>
      <c r="I205" t="s">
        <v>12</v>
      </c>
      <c r="J205" t="e">
        <f>+_xlfn.XLOOKUP(E205,#REF!,F:F,"ZERO",0,1)</f>
        <v>#REF!</v>
      </c>
      <c r="K205" t="s">
        <v>650</v>
      </c>
    </row>
    <row r="206" spans="4:11" x14ac:dyDescent="0.3">
      <c r="E206" s="13" t="s">
        <v>684</v>
      </c>
      <c r="F206" s="27" t="s">
        <v>686</v>
      </c>
      <c r="G206" s="13" t="s">
        <v>594</v>
      </c>
      <c r="H206" s="3"/>
    </row>
    <row r="207" spans="4:11" x14ac:dyDescent="0.3">
      <c r="E207" s="27" t="s">
        <v>654</v>
      </c>
      <c r="F207" s="14" t="s">
        <v>656</v>
      </c>
      <c r="G207" s="12" t="s">
        <v>594</v>
      </c>
      <c r="H207" s="3"/>
    </row>
    <row r="208" spans="4:11" x14ac:dyDescent="0.3">
      <c r="E208" s="27" t="s">
        <v>658</v>
      </c>
      <c r="F208" s="14" t="s">
        <v>657</v>
      </c>
      <c r="G208" s="13" t="s">
        <v>594</v>
      </c>
      <c r="H208" s="3"/>
    </row>
    <row r="209" spans="5:10" x14ac:dyDescent="0.3">
      <c r="E209" s="27" t="s">
        <v>660</v>
      </c>
      <c r="F209" s="14" t="s">
        <v>662</v>
      </c>
      <c r="G209" s="13" t="s">
        <v>593</v>
      </c>
      <c r="H209" s="3"/>
    </row>
    <row r="210" spans="5:10" x14ac:dyDescent="0.3">
      <c r="E210" s="27" t="s">
        <v>664</v>
      </c>
      <c r="F210" s="14" t="s">
        <v>663</v>
      </c>
      <c r="G210" s="13" t="s">
        <v>593</v>
      </c>
    </row>
    <row r="211" spans="5:10" x14ac:dyDescent="0.3">
      <c r="E211" s="27" t="s">
        <v>667</v>
      </c>
      <c r="F211" s="14" t="s">
        <v>666</v>
      </c>
      <c r="G211" s="13" t="s">
        <v>593</v>
      </c>
    </row>
    <row r="212" spans="5:10" x14ac:dyDescent="0.3">
      <c r="E212" s="27" t="s">
        <v>670</v>
      </c>
      <c r="F212" s="14" t="s">
        <v>669</v>
      </c>
      <c r="G212" t="s">
        <v>594</v>
      </c>
    </row>
    <row r="213" spans="5:10" x14ac:dyDescent="0.3">
      <c r="E213" s="27" t="s">
        <v>673</v>
      </c>
      <c r="F213" s="13" t="s">
        <v>672</v>
      </c>
      <c r="G213" s="13" t="s">
        <v>631</v>
      </c>
    </row>
    <row r="214" spans="5:10" x14ac:dyDescent="0.3">
      <c r="E214" s="27" t="s">
        <v>676</v>
      </c>
      <c r="F214" s="27" t="s">
        <v>675</v>
      </c>
      <c r="G214" s="13" t="s">
        <v>593</v>
      </c>
      <c r="H214" s="3"/>
    </row>
    <row r="215" spans="5:10" x14ac:dyDescent="0.3">
      <c r="E215" s="27" t="s">
        <v>679</v>
      </c>
      <c r="F215" s="27" t="s">
        <v>678</v>
      </c>
      <c r="G215" s="13" t="s">
        <v>593</v>
      </c>
      <c r="H215" s="3"/>
    </row>
    <row r="216" spans="5:10" x14ac:dyDescent="0.3">
      <c r="E216" s="27" t="s">
        <v>682</v>
      </c>
      <c r="F216" s="27" t="s">
        <v>681</v>
      </c>
      <c r="G216" s="13" t="s">
        <v>593</v>
      </c>
    </row>
    <row r="217" spans="5:10" x14ac:dyDescent="0.3">
      <c r="E217" s="13" t="s">
        <v>92</v>
      </c>
      <c r="F217" s="14" t="s">
        <v>118</v>
      </c>
      <c r="G217" s="15" t="s">
        <v>118</v>
      </c>
      <c r="I217" t="s">
        <v>12</v>
      </c>
      <c r="J217" t="e">
        <f>+_xlfn.XLOOKUP(E217,#REF!,F:F,"ZERO",0,1)</f>
        <v>#REF!</v>
      </c>
    </row>
    <row r="218" spans="5:10" x14ac:dyDescent="0.3">
      <c r="E218" s="13" t="s">
        <v>135</v>
      </c>
      <c r="F218" s="13" t="s">
        <v>592</v>
      </c>
      <c r="G218" s="13" t="s">
        <v>593</v>
      </c>
      <c r="I218" t="s">
        <v>16</v>
      </c>
      <c r="J218" t="e">
        <f>+_xlfn.XLOOKUP(E218,#REF!,F:F,"ZERO",0,1)</f>
        <v>#REF!</v>
      </c>
    </row>
    <row r="219" spans="5:10" x14ac:dyDescent="0.3">
      <c r="E219" s="13" t="s">
        <v>119</v>
      </c>
      <c r="F219" s="13" t="s">
        <v>591</v>
      </c>
      <c r="G219" s="13" t="s">
        <v>599</v>
      </c>
      <c r="I219" t="s">
        <v>12</v>
      </c>
      <c r="J219" t="e">
        <f>+_xlfn.XLOOKUP(E219,#REF!,F:F,"ZERO",0,1)</f>
        <v>#REF!</v>
      </c>
    </row>
    <row r="220" spans="5:10" x14ac:dyDescent="0.3">
      <c r="E220" s="13" t="s">
        <v>76</v>
      </c>
      <c r="F220" s="16" t="s">
        <v>590</v>
      </c>
      <c r="G220" s="13" t="s">
        <v>593</v>
      </c>
      <c r="I220" t="s">
        <v>16</v>
      </c>
      <c r="J220" t="e">
        <f>+_xlfn.XLOOKUP(E220,#REF!,F:F,"ZERO",0,1)</f>
        <v>#REF!</v>
      </c>
    </row>
    <row r="221" spans="5:10" x14ac:dyDescent="0.3">
      <c r="E221" s="13" t="s">
        <v>137</v>
      </c>
      <c r="F221" s="16" t="s">
        <v>136</v>
      </c>
      <c r="G221" s="13" t="s">
        <v>593</v>
      </c>
      <c r="I221" t="s">
        <v>12</v>
      </c>
      <c r="J221" t="e">
        <f>+_xlfn.XLOOKUP(E221,#REF!,F:F,"ZERO",0,1)</f>
        <v>#REF!</v>
      </c>
    </row>
    <row r="222" spans="5:10" x14ac:dyDescent="0.3">
      <c r="E222" s="13" t="s">
        <v>141</v>
      </c>
      <c r="F222" s="13" t="s">
        <v>140</v>
      </c>
      <c r="G222" s="13" t="s">
        <v>593</v>
      </c>
      <c r="I222" t="s">
        <v>16</v>
      </c>
      <c r="J222" t="e">
        <f>+_xlfn.XLOOKUP(E222,#REF!,F:F,"ZERO",0,1)</f>
        <v>#REF!</v>
      </c>
    </row>
    <row r="223" spans="5:10" x14ac:dyDescent="0.3">
      <c r="E223" s="13" t="s">
        <v>139</v>
      </c>
      <c r="F223" s="13" t="s">
        <v>138</v>
      </c>
      <c r="G223" s="13" t="s">
        <v>599</v>
      </c>
      <c r="I223" t="s">
        <v>12</v>
      </c>
      <c r="J223" t="e">
        <f>+_xlfn.XLOOKUP(E223,#REF!,F:F,"ZERO",0,1)</f>
        <v>#REF!</v>
      </c>
    </row>
    <row r="224" spans="5:10" x14ac:dyDescent="0.3">
      <c r="E224" s="13" t="s">
        <v>143</v>
      </c>
      <c r="F224" s="13" t="s">
        <v>142</v>
      </c>
      <c r="G224" s="13" t="s">
        <v>593</v>
      </c>
      <c r="I224" t="s">
        <v>16</v>
      </c>
      <c r="J224" t="e">
        <f>+_xlfn.XLOOKUP(E224,#REF!,F:F,"ZERO",0,1)</f>
        <v>#REF!</v>
      </c>
    </row>
    <row r="225" spans="5:10" x14ac:dyDescent="0.3">
      <c r="E225" s="13" t="s">
        <v>160</v>
      </c>
      <c r="F225" s="13" t="s">
        <v>589</v>
      </c>
      <c r="G225" s="13" t="s">
        <v>593</v>
      </c>
      <c r="I225" t="s">
        <v>12</v>
      </c>
      <c r="J225" t="e">
        <f>+_xlfn.XLOOKUP(E225,#REF!,F:F,"ZERO",0,1)</f>
        <v>#REF!</v>
      </c>
    </row>
    <row r="226" spans="5:10" x14ac:dyDescent="0.3">
      <c r="E226" s="13" t="s">
        <v>156</v>
      </c>
      <c r="F226" s="13" t="s">
        <v>155</v>
      </c>
      <c r="G226" s="13" t="s">
        <v>631</v>
      </c>
      <c r="H226" s="3"/>
      <c r="I226" t="s">
        <v>12</v>
      </c>
      <c r="J226" t="e">
        <f>+_xlfn.XLOOKUP(E226,#REF!,F:F,"ZERO",0,1)</f>
        <v>#REF!</v>
      </c>
    </row>
    <row r="227" spans="5:10" x14ac:dyDescent="0.3">
      <c r="E227" s="13" t="s">
        <v>158</v>
      </c>
      <c r="F227" s="13" t="s">
        <v>588</v>
      </c>
      <c r="G227" s="13" t="s">
        <v>593</v>
      </c>
      <c r="H227" s="3"/>
      <c r="I227" t="s">
        <v>16</v>
      </c>
      <c r="J227" t="e">
        <f>+_xlfn.XLOOKUP(E227,#REF!,F:F,"ZERO",0,1)</f>
        <v>#REF!</v>
      </c>
    </row>
    <row r="228" spans="5:10" x14ac:dyDescent="0.3">
      <c r="E228" s="13" t="s">
        <v>120</v>
      </c>
      <c r="F228" s="13" t="s">
        <v>121</v>
      </c>
      <c r="G228" s="13" t="s">
        <v>599</v>
      </c>
      <c r="I228" t="s">
        <v>16</v>
      </c>
      <c r="J228" t="e">
        <f>+_xlfn.XLOOKUP(E228,#REF!,F:F,"ZERO",0,1)</f>
        <v>#REF!</v>
      </c>
    </row>
    <row r="229" spans="5:10" x14ac:dyDescent="0.3">
      <c r="E229" s="13" t="s">
        <v>93</v>
      </c>
      <c r="F229" s="13" t="s">
        <v>157</v>
      </c>
      <c r="G229" s="12" t="s">
        <v>593</v>
      </c>
      <c r="I229" t="s">
        <v>12</v>
      </c>
      <c r="J229" t="e">
        <f>+_xlfn.XLOOKUP(E229,#REF!,F:F,"ZERO",0,1)</f>
        <v>#REF!</v>
      </c>
    </row>
    <row r="230" spans="5:10" x14ac:dyDescent="0.3">
      <c r="E230" s="13" t="s">
        <v>147</v>
      </c>
      <c r="F230" s="13" t="s">
        <v>587</v>
      </c>
      <c r="G230" t="s">
        <v>594</v>
      </c>
      <c r="I230" t="s">
        <v>16</v>
      </c>
      <c r="J230" t="e">
        <f>+_xlfn.XLOOKUP(E230,#REF!,F:F,"ZERO",0,1)</f>
        <v>#REF!</v>
      </c>
    </row>
    <row r="231" spans="5:10" x14ac:dyDescent="0.3">
      <c r="E231" s="13" t="s">
        <v>584</v>
      </c>
      <c r="F231" s="13" t="s">
        <v>586</v>
      </c>
      <c r="G231" s="13" t="s">
        <v>594</v>
      </c>
      <c r="I231" t="s">
        <v>12</v>
      </c>
      <c r="J231" t="e">
        <f>+_xlfn.XLOOKUP(E231,#REF!,F:F,"ZERO",0,1)</f>
        <v>#REF!</v>
      </c>
    </row>
    <row r="232" spans="5:10" x14ac:dyDescent="0.3">
      <c r="E232" s="13" t="s">
        <v>146</v>
      </c>
      <c r="F232" s="13" t="s">
        <v>145</v>
      </c>
      <c r="G232" s="13" t="s">
        <v>594</v>
      </c>
      <c r="I232" t="s">
        <v>16</v>
      </c>
      <c r="J232" t="e">
        <f>+_xlfn.XLOOKUP(E232,#REF!,F:F,"ZERO",0,1)</f>
        <v>#REF!</v>
      </c>
    </row>
    <row r="233" spans="5:10" x14ac:dyDescent="0.3">
      <c r="E233" s="13" t="s">
        <v>151</v>
      </c>
      <c r="F233" s="13" t="s">
        <v>150</v>
      </c>
      <c r="G233" s="13" t="s">
        <v>594</v>
      </c>
      <c r="I233" t="s">
        <v>12</v>
      </c>
      <c r="J233" t="e">
        <f>+_xlfn.XLOOKUP(E233,#REF!,F:F,"ZERO",0,1)</f>
        <v>#REF!</v>
      </c>
    </row>
    <row r="234" spans="5:10" x14ac:dyDescent="0.3">
      <c r="E234" s="13" t="s">
        <v>144</v>
      </c>
      <c r="F234" s="13" t="s">
        <v>583</v>
      </c>
      <c r="G234" s="13" t="s">
        <v>593</v>
      </c>
      <c r="H234" s="3"/>
      <c r="I234" t="s">
        <v>16</v>
      </c>
      <c r="J234" t="e">
        <f>+_xlfn.XLOOKUP(E234,#REF!,F:F,"ZERO",0,1)</f>
        <v>#REF!</v>
      </c>
    </row>
    <row r="235" spans="5:10" x14ac:dyDescent="0.3">
      <c r="E235" s="13" t="s">
        <v>133</v>
      </c>
      <c r="F235" s="13" t="s">
        <v>132</v>
      </c>
      <c r="G235" s="13" t="s">
        <v>593</v>
      </c>
      <c r="H235" s="3"/>
      <c r="I235" t="s">
        <v>12</v>
      </c>
      <c r="J235" t="e">
        <f>+_xlfn.XLOOKUP(E235,#REF!,F:F,"ZERO",0,1)</f>
        <v>#REF!</v>
      </c>
    </row>
    <row r="236" spans="5:10" x14ac:dyDescent="0.3">
      <c r="E236" s="13" t="s">
        <v>74</v>
      </c>
      <c r="F236" s="13" t="s">
        <v>152</v>
      </c>
      <c r="G236" s="13" t="s">
        <v>593</v>
      </c>
      <c r="H236" s="3"/>
      <c r="I236" t="s">
        <v>16</v>
      </c>
      <c r="J236" t="e">
        <f>+_xlfn.XLOOKUP(E236,#REF!,F:F,"ZERO",0,1)</f>
        <v>#REF!</v>
      </c>
    </row>
    <row r="237" spans="5:10" x14ac:dyDescent="0.3">
      <c r="E237" s="13" t="s">
        <v>125</v>
      </c>
      <c r="F237" s="13" t="s">
        <v>124</v>
      </c>
      <c r="G237" s="13" t="s">
        <v>599</v>
      </c>
      <c r="H237" s="3"/>
      <c r="I237" t="s">
        <v>12</v>
      </c>
      <c r="J237" t="e">
        <f>+_xlfn.XLOOKUP(E237,#REF!,F:F,"ZERO",0,1)</f>
        <v>#REF!</v>
      </c>
    </row>
    <row r="238" spans="5:10" x14ac:dyDescent="0.3">
      <c r="E238" s="13" t="s">
        <v>116</v>
      </c>
      <c r="F238" s="13" t="s">
        <v>153</v>
      </c>
      <c r="G238" s="13" t="s">
        <v>593</v>
      </c>
      <c r="I238" t="s">
        <v>16</v>
      </c>
      <c r="J238" t="e">
        <f>+_xlfn.XLOOKUP(E238,#REF!,F:F,"ZERO",0,1)</f>
        <v>#REF!</v>
      </c>
    </row>
    <row r="239" spans="5:10" x14ac:dyDescent="0.3">
      <c r="E239" s="13" t="s">
        <v>582</v>
      </c>
      <c r="F239" s="13" t="s">
        <v>164</v>
      </c>
      <c r="G239" s="13" t="s">
        <v>594</v>
      </c>
      <c r="I239" t="s">
        <v>12</v>
      </c>
      <c r="J239" t="e">
        <f>+_xlfn.XLOOKUP(E239,#REF!,F:F,"ZERO",0,1)</f>
        <v>#REF!</v>
      </c>
    </row>
    <row r="240" spans="5:10" x14ac:dyDescent="0.3">
      <c r="E240" s="13" t="s">
        <v>161</v>
      </c>
      <c r="F240" s="13" t="s">
        <v>162</v>
      </c>
      <c r="G240" s="13" t="s">
        <v>594</v>
      </c>
      <c r="H240" s="3"/>
      <c r="I240" t="s">
        <v>16</v>
      </c>
      <c r="J240" t="e">
        <f>+_xlfn.XLOOKUP(E240,#REF!,F:F,"ZERO",0,1)</f>
        <v>#REF!</v>
      </c>
    </row>
    <row r="241" spans="5:10" x14ac:dyDescent="0.3">
      <c r="E241" s="13" t="s">
        <v>166</v>
      </c>
      <c r="F241" s="12" t="s">
        <v>581</v>
      </c>
      <c r="G241" s="12" t="s">
        <v>593</v>
      </c>
      <c r="H241" s="3"/>
      <c r="I241" t="s">
        <v>12</v>
      </c>
      <c r="J241" t="e">
        <f>+_xlfn.XLOOKUP(E241,#REF!,F:F,"ZERO",0,1)</f>
        <v>#REF!</v>
      </c>
    </row>
    <row r="242" spans="5:10" x14ac:dyDescent="0.3">
      <c r="E242" s="13" t="s">
        <v>169</v>
      </c>
      <c r="F242" s="16" t="s">
        <v>170</v>
      </c>
      <c r="G242" s="13" t="s">
        <v>599</v>
      </c>
      <c r="H242" s="3"/>
      <c r="I242" t="s">
        <v>16</v>
      </c>
      <c r="J242" t="e">
        <f>+_xlfn.XLOOKUP(E242,#REF!,F:F,"ZERO",0,1)</f>
        <v>#REF!</v>
      </c>
    </row>
    <row r="243" spans="5:10" x14ac:dyDescent="0.3">
      <c r="E243" s="13" t="s">
        <v>167</v>
      </c>
      <c r="F243" s="13" t="s">
        <v>580</v>
      </c>
      <c r="G243" s="13" t="s">
        <v>594</v>
      </c>
      <c r="H243" s="3"/>
      <c r="I243" t="s">
        <v>12</v>
      </c>
      <c r="J243" t="e">
        <f>+_xlfn.XLOOKUP(E243,#REF!,F:F,"ZERO",0,1)</f>
        <v>#REF!</v>
      </c>
    </row>
    <row r="244" spans="5:10" x14ac:dyDescent="0.3">
      <c r="E244" s="13" t="s">
        <v>172</v>
      </c>
      <c r="F244" s="13" t="s">
        <v>173</v>
      </c>
      <c r="G244" s="13" t="s">
        <v>594</v>
      </c>
      <c r="I244" t="s">
        <v>16</v>
      </c>
      <c r="J244" t="e">
        <f>+_xlfn.XLOOKUP(E244,#REF!,F:F,"ZERO",0,1)</f>
        <v>#REF!</v>
      </c>
    </row>
    <row r="245" spans="5:10" x14ac:dyDescent="0.3">
      <c r="E245" s="13" t="s">
        <v>183</v>
      </c>
      <c r="F245" s="13" t="s">
        <v>579</v>
      </c>
      <c r="G245" s="13" t="s">
        <v>594</v>
      </c>
      <c r="I245" t="s">
        <v>12</v>
      </c>
      <c r="J245" t="e">
        <f>+_xlfn.XLOOKUP(E245,#REF!,F:F,"ZERO",0,1)</f>
        <v>#REF!</v>
      </c>
    </row>
    <row r="246" spans="5:10" x14ac:dyDescent="0.3">
      <c r="E246" s="13" t="s">
        <v>179</v>
      </c>
      <c r="F246" s="13" t="s">
        <v>178</v>
      </c>
      <c r="G246" s="13" t="s">
        <v>594</v>
      </c>
      <c r="H246" s="3"/>
      <c r="I246" t="s">
        <v>16</v>
      </c>
      <c r="J246" t="e">
        <f>+_xlfn.XLOOKUP(E246,#REF!,F:F,"ZERO",0,1)</f>
        <v>#REF!</v>
      </c>
    </row>
    <row r="247" spans="5:10" x14ac:dyDescent="0.3">
      <c r="E247" s="13" t="s">
        <v>176</v>
      </c>
      <c r="F247" s="13" t="s">
        <v>175</v>
      </c>
      <c r="G247" s="13" t="s">
        <v>593</v>
      </c>
      <c r="H247" s="3"/>
      <c r="I247" t="s">
        <v>12</v>
      </c>
      <c r="J247" t="e">
        <f>+_xlfn.XLOOKUP(E247,#REF!,F:F,"ZERO",0,1)</f>
        <v>#REF!</v>
      </c>
    </row>
    <row r="248" spans="5:10" x14ac:dyDescent="0.3">
      <c r="E248" s="13" t="s">
        <v>184</v>
      </c>
      <c r="F248" s="13" t="s">
        <v>185</v>
      </c>
      <c r="G248" s="13" t="s">
        <v>594</v>
      </c>
      <c r="H248" s="3"/>
      <c r="I248" t="s">
        <v>16</v>
      </c>
      <c r="J248" t="e">
        <f>+_xlfn.XLOOKUP(E248,#REF!,F:F,"ZERO",0,1)</f>
        <v>#REF!</v>
      </c>
    </row>
    <row r="249" spans="5:10" x14ac:dyDescent="0.3">
      <c r="E249" s="13" t="s">
        <v>189</v>
      </c>
      <c r="F249" s="13" t="s">
        <v>190</v>
      </c>
      <c r="G249" s="13" t="s">
        <v>593</v>
      </c>
      <c r="H249" s="3"/>
      <c r="I249" t="s">
        <v>12</v>
      </c>
      <c r="J249" t="e">
        <f>+_xlfn.XLOOKUP(E249,#REF!,F:F,"ZERO",0,1)</f>
        <v>#REF!</v>
      </c>
    </row>
    <row r="250" spans="5:10" x14ac:dyDescent="0.3">
      <c r="E250" s="13" t="s">
        <v>187</v>
      </c>
      <c r="F250" s="13" t="s">
        <v>578</v>
      </c>
      <c r="G250" s="13" t="s">
        <v>593</v>
      </c>
      <c r="H250" s="3"/>
      <c r="I250" t="s">
        <v>12</v>
      </c>
      <c r="J250" t="e">
        <f>+_xlfn.XLOOKUP(E250,#REF!,F:F,"ZERO",0,1)</f>
        <v>#REF!</v>
      </c>
    </row>
    <row r="251" spans="5:10" x14ac:dyDescent="0.3">
      <c r="E251" s="13" t="s">
        <v>197</v>
      </c>
      <c r="F251" s="13" t="s">
        <v>196</v>
      </c>
      <c r="G251" s="13" t="s">
        <v>593</v>
      </c>
      <c r="H251" s="3"/>
      <c r="I251" t="s">
        <v>16</v>
      </c>
      <c r="J251" t="e">
        <f>+_xlfn.XLOOKUP(E251,#REF!,F:F,"ZERO",0,1)</f>
        <v>#REF!</v>
      </c>
    </row>
    <row r="252" spans="5:10" x14ac:dyDescent="0.3">
      <c r="E252" s="13" t="s">
        <v>200</v>
      </c>
      <c r="F252" s="13" t="s">
        <v>199</v>
      </c>
      <c r="G252" s="13" t="s">
        <v>594</v>
      </c>
      <c r="H252" s="3"/>
      <c r="I252" t="s">
        <v>16</v>
      </c>
      <c r="J252" t="e">
        <f>+_xlfn.XLOOKUP(E252,#REF!,F:F,"ZERO",0,1)</f>
        <v>#REF!</v>
      </c>
    </row>
    <row r="253" spans="5:10" x14ac:dyDescent="0.3">
      <c r="E253" s="13" t="s">
        <v>192</v>
      </c>
      <c r="F253" s="13" t="s">
        <v>191</v>
      </c>
      <c r="G253" s="13" t="s">
        <v>593</v>
      </c>
      <c r="H253" s="3"/>
      <c r="I253" t="s">
        <v>12</v>
      </c>
      <c r="J253" t="e">
        <f>+_xlfn.XLOOKUP(E253,#REF!,F:F,"ZERO",0,1)</f>
        <v>#REF!</v>
      </c>
    </row>
    <row r="254" spans="5:10" x14ac:dyDescent="0.3">
      <c r="E254" s="13" t="s">
        <v>201</v>
      </c>
      <c r="F254" s="13" t="s">
        <v>202</v>
      </c>
      <c r="G254" s="13" t="s">
        <v>594</v>
      </c>
      <c r="H254" s="3"/>
      <c r="I254" t="s">
        <v>12</v>
      </c>
      <c r="J254" t="e">
        <f>+_xlfn.XLOOKUP(E254,#REF!,F:F,"ZERO",0,1)</f>
        <v>#REF!</v>
      </c>
    </row>
    <row r="255" spans="5:10" x14ac:dyDescent="0.3">
      <c r="E255" s="13" t="s">
        <v>195</v>
      </c>
      <c r="F255" s="13" t="s">
        <v>194</v>
      </c>
      <c r="G255" s="13" t="s">
        <v>593</v>
      </c>
      <c r="H255" s="3"/>
      <c r="I255" t="s">
        <v>16</v>
      </c>
      <c r="J255" t="e">
        <f>+_xlfn.XLOOKUP(E255,#REF!,F:F,"ZERO",0,1)</f>
        <v>#REF!</v>
      </c>
    </row>
    <row r="256" spans="5:10" x14ac:dyDescent="0.3">
      <c r="E256" s="13" t="s">
        <v>207</v>
      </c>
      <c r="F256" s="13" t="s">
        <v>206</v>
      </c>
      <c r="G256" s="13" t="s">
        <v>594</v>
      </c>
      <c r="H256" s="3"/>
      <c r="I256" t="s">
        <v>16</v>
      </c>
      <c r="J256" t="e">
        <f>+_xlfn.XLOOKUP(E256,#REF!,F:F,"ZERO",0,1)</f>
        <v>#REF!</v>
      </c>
    </row>
    <row r="257" spans="5:10" x14ac:dyDescent="0.3">
      <c r="E257" s="13" t="s">
        <v>205</v>
      </c>
      <c r="F257" s="13" t="s">
        <v>204</v>
      </c>
      <c r="G257" s="13" t="s">
        <v>594</v>
      </c>
      <c r="H257" s="3"/>
      <c r="I257" t="s">
        <v>12</v>
      </c>
      <c r="J257" t="e">
        <f>+_xlfn.XLOOKUP(E257,#REF!,F:F,"ZERO",0,1)</f>
        <v>#REF!</v>
      </c>
    </row>
    <row r="258" spans="5:10" x14ac:dyDescent="0.3">
      <c r="E258" s="13" t="s">
        <v>210</v>
      </c>
      <c r="F258" s="13" t="s">
        <v>209</v>
      </c>
      <c r="G258" s="13" t="s">
        <v>631</v>
      </c>
      <c r="H258" s="3"/>
      <c r="I258" t="s">
        <v>16</v>
      </c>
      <c r="J258" t="e">
        <f>+_xlfn.XLOOKUP(E258,#REF!,F:F,"ZERO",0,1)</f>
        <v>#REF!</v>
      </c>
    </row>
    <row r="259" spans="5:10" x14ac:dyDescent="0.3">
      <c r="E259" s="13" t="s">
        <v>131</v>
      </c>
      <c r="F259" s="13" t="s">
        <v>130</v>
      </c>
      <c r="G259" s="13" t="s">
        <v>599</v>
      </c>
      <c r="H259" s="3"/>
      <c r="I259" t="s">
        <v>12</v>
      </c>
      <c r="J259" t="e">
        <f>+_xlfn.XLOOKUP(E259,#REF!,F:F,"ZERO",0,1)</f>
        <v>#REF!</v>
      </c>
    </row>
    <row r="260" spans="5:10" x14ac:dyDescent="0.3">
      <c r="E260" s="13" t="s">
        <v>180</v>
      </c>
      <c r="F260" s="13" t="s">
        <v>577</v>
      </c>
      <c r="G260" s="13" t="s">
        <v>594</v>
      </c>
      <c r="I260" t="s">
        <v>12</v>
      </c>
      <c r="J260" t="e">
        <f>+_xlfn.XLOOKUP(E260,#REF!,F:F,"ZERO",0,1)</f>
        <v>#REF!</v>
      </c>
    </row>
    <row r="261" spans="5:10" x14ac:dyDescent="0.3">
      <c r="E261" s="13" t="s">
        <v>217</v>
      </c>
      <c r="F261" s="13" t="s">
        <v>216</v>
      </c>
      <c r="G261" s="13" t="s">
        <v>594</v>
      </c>
      <c r="I261" t="s">
        <v>16</v>
      </c>
      <c r="J261" t="e">
        <f>+_xlfn.XLOOKUP(E261,#REF!,F:F,"ZERO",0,1)</f>
        <v>#REF!</v>
      </c>
    </row>
    <row r="262" spans="5:10" x14ac:dyDescent="0.3">
      <c r="E262" s="13" t="s">
        <v>211</v>
      </c>
      <c r="F262" s="13" t="s">
        <v>212</v>
      </c>
      <c r="G262" s="13" t="s">
        <v>593</v>
      </c>
      <c r="I262" t="s">
        <v>16</v>
      </c>
      <c r="J262" t="e">
        <f>+_xlfn.XLOOKUP(E262,#REF!,F:F,"ZERO",0,1)</f>
        <v>#REF!</v>
      </c>
    </row>
    <row r="263" spans="5:10" x14ac:dyDescent="0.3">
      <c r="E263" s="13" t="s">
        <v>214</v>
      </c>
      <c r="F263" s="13" t="s">
        <v>576</v>
      </c>
      <c r="G263" s="13" t="s">
        <v>593</v>
      </c>
      <c r="I263" t="s">
        <v>12</v>
      </c>
      <c r="J263" t="e">
        <f>+_xlfn.XLOOKUP(E263,#REF!,F:F,"ZERO",0,1)</f>
        <v>#REF!</v>
      </c>
    </row>
    <row r="264" spans="5:10" x14ac:dyDescent="0.3">
      <c r="E264" s="13" t="s">
        <v>223</v>
      </c>
      <c r="F264" s="13" t="s">
        <v>222</v>
      </c>
      <c r="G264" s="13" t="s">
        <v>594</v>
      </c>
      <c r="I264" t="s">
        <v>16</v>
      </c>
      <c r="J264" t="e">
        <f>+_xlfn.XLOOKUP(E264,#REF!,F:F,"ZERO",0,1)</f>
        <v>#REF!</v>
      </c>
    </row>
    <row r="265" spans="5:10" x14ac:dyDescent="0.3">
      <c r="E265" s="13" t="s">
        <v>220</v>
      </c>
      <c r="F265" s="13" t="s">
        <v>219</v>
      </c>
      <c r="G265" s="13" t="s">
        <v>594</v>
      </c>
      <c r="I265" t="s">
        <v>12</v>
      </c>
      <c r="J265" t="e">
        <f>+_xlfn.XLOOKUP(E265,#REF!,F:F,"ZERO",0,1)</f>
        <v>#REF!</v>
      </c>
    </row>
    <row r="266" spans="5:10" x14ac:dyDescent="0.3">
      <c r="E266" s="13" t="s">
        <v>224</v>
      </c>
      <c r="F266" s="13" t="s">
        <v>575</v>
      </c>
      <c r="G266" s="13" t="s">
        <v>593</v>
      </c>
      <c r="I266" t="s">
        <v>12</v>
      </c>
      <c r="J266" t="e">
        <f>+_xlfn.XLOOKUP(E266,#REF!,F:F,"ZERO",0,1)</f>
        <v>#REF!</v>
      </c>
    </row>
    <row r="267" spans="5:10" x14ac:dyDescent="0.3">
      <c r="E267" s="13" t="s">
        <v>227</v>
      </c>
      <c r="F267" s="13" t="s">
        <v>228</v>
      </c>
      <c r="G267" t="s">
        <v>594</v>
      </c>
      <c r="I267" t="s">
        <v>16</v>
      </c>
      <c r="J267" t="e">
        <f>+_xlfn.XLOOKUP(E267,#REF!,F:F,"ZERO",0,1)</f>
        <v>#REF!</v>
      </c>
    </row>
    <row r="268" spans="5:10" x14ac:dyDescent="0.3">
      <c r="E268" s="13" t="s">
        <v>230</v>
      </c>
      <c r="F268" s="13" t="s">
        <v>231</v>
      </c>
      <c r="G268" s="13" t="s">
        <v>594</v>
      </c>
      <c r="I268" t="s">
        <v>16</v>
      </c>
      <c r="J268" t="e">
        <f>+_xlfn.XLOOKUP(E268,#REF!,F:F,"ZERO",0,1)</f>
        <v>#REF!</v>
      </c>
    </row>
    <row r="269" spans="5:10" x14ac:dyDescent="0.3">
      <c r="E269" s="13" t="s">
        <v>225</v>
      </c>
      <c r="F269" s="13" t="s">
        <v>226</v>
      </c>
      <c r="G269" s="13" t="s">
        <v>593</v>
      </c>
      <c r="I269" t="s">
        <v>12</v>
      </c>
      <c r="J269" t="e">
        <f>+_xlfn.XLOOKUP(E269,#REF!,F:F,"ZERO",0,1)</f>
        <v>#REF!</v>
      </c>
    </row>
    <row r="270" spans="5:10" x14ac:dyDescent="0.3">
      <c r="E270" s="13" t="s">
        <v>241</v>
      </c>
      <c r="F270" s="13" t="s">
        <v>240</v>
      </c>
      <c r="G270" s="13" t="s">
        <v>594</v>
      </c>
      <c r="H270" s="3"/>
      <c r="I270" t="s">
        <v>16</v>
      </c>
      <c r="J270" t="e">
        <f>+_xlfn.XLOOKUP(E270,#REF!,F:F,"ZERO",0,1)</f>
        <v>#REF!</v>
      </c>
    </row>
    <row r="271" spans="5:10" x14ac:dyDescent="0.3">
      <c r="E271" s="13" t="s">
        <v>236</v>
      </c>
      <c r="F271" s="13" t="s">
        <v>237</v>
      </c>
      <c r="G271" s="13" t="s">
        <v>599</v>
      </c>
      <c r="H271" s="3"/>
      <c r="I271" t="s">
        <v>12</v>
      </c>
      <c r="J271" t="e">
        <f>+_xlfn.XLOOKUP(E271,#REF!,F:F,"ZERO",0,1)</f>
        <v>#REF!</v>
      </c>
    </row>
    <row r="272" spans="5:10" x14ac:dyDescent="0.3">
      <c r="E272" s="13" t="s">
        <v>244</v>
      </c>
      <c r="F272" s="13" t="s">
        <v>243</v>
      </c>
      <c r="G272" t="s">
        <v>594</v>
      </c>
      <c r="I272" t="s">
        <v>16</v>
      </c>
      <c r="J272" t="e">
        <f>+_xlfn.XLOOKUP(E272,#REF!,F:F,"ZERO",0,1)</f>
        <v>#REF!</v>
      </c>
    </row>
    <row r="273" spans="5:10" x14ac:dyDescent="0.3">
      <c r="E273" s="13" t="s">
        <v>245</v>
      </c>
      <c r="F273" s="13" t="s">
        <v>574</v>
      </c>
      <c r="G273" t="s">
        <v>594</v>
      </c>
      <c r="I273" t="s">
        <v>12</v>
      </c>
      <c r="J273" t="e">
        <f>+_xlfn.XLOOKUP(E273,#REF!,F:F,"ZERO",0,1)</f>
        <v>#REF!</v>
      </c>
    </row>
    <row r="274" spans="5:10" x14ac:dyDescent="0.3">
      <c r="E274" s="13" t="s">
        <v>249</v>
      </c>
      <c r="F274" s="13" t="s">
        <v>248</v>
      </c>
      <c r="G274" s="13" t="s">
        <v>594</v>
      </c>
      <c r="I274" t="s">
        <v>16</v>
      </c>
      <c r="J274" t="e">
        <f>+_xlfn.XLOOKUP(E274,#REF!,F:F,"ZERO",0,1)</f>
        <v>#REF!</v>
      </c>
    </row>
    <row r="275" spans="5:10" x14ac:dyDescent="0.3">
      <c r="E275" s="13" t="s">
        <v>252</v>
      </c>
      <c r="F275" s="13" t="s">
        <v>251</v>
      </c>
      <c r="G275" s="13" t="s">
        <v>593</v>
      </c>
      <c r="I275" t="s">
        <v>12</v>
      </c>
      <c r="J275" t="e">
        <f>+_xlfn.XLOOKUP(E275,#REF!,F:F,"ZERO",0,1)</f>
        <v>#REF!</v>
      </c>
    </row>
    <row r="276" spans="5:10" x14ac:dyDescent="0.3">
      <c r="E276" s="13" t="s">
        <v>235</v>
      </c>
      <c r="F276" s="13" t="s">
        <v>234</v>
      </c>
      <c r="G276" s="13" t="s">
        <v>594</v>
      </c>
      <c r="H276" s="3"/>
      <c r="I276" t="s">
        <v>16</v>
      </c>
      <c r="J276" t="e">
        <f>+_xlfn.XLOOKUP(E276,#REF!,F:F,"ZERO",0,1)</f>
        <v>#REF!</v>
      </c>
    </row>
    <row r="277" spans="5:10" x14ac:dyDescent="0.3">
      <c r="E277" s="13" t="s">
        <v>253</v>
      </c>
      <c r="F277" s="13" t="s">
        <v>254</v>
      </c>
      <c r="G277" s="13" t="s">
        <v>594</v>
      </c>
      <c r="H277" s="3"/>
      <c r="I277" t="s">
        <v>12</v>
      </c>
      <c r="J277" t="e">
        <f>+_xlfn.XLOOKUP(E277,#REF!,F:F,"ZERO",0,1)</f>
        <v>#REF!</v>
      </c>
    </row>
    <row r="278" spans="5:10" x14ac:dyDescent="0.3">
      <c r="E278" s="13" t="s">
        <v>257</v>
      </c>
      <c r="F278" s="13" t="s">
        <v>573</v>
      </c>
      <c r="G278" s="13" t="s">
        <v>594</v>
      </c>
      <c r="H278" s="3"/>
      <c r="I278" t="s">
        <v>16</v>
      </c>
      <c r="J278" t="e">
        <f>+_xlfn.XLOOKUP(E278,#REF!,F:F,"ZERO",0,1)</f>
        <v>#REF!</v>
      </c>
    </row>
    <row r="279" spans="5:10" x14ac:dyDescent="0.3">
      <c r="E279" s="13" t="s">
        <v>258</v>
      </c>
      <c r="F279" s="13" t="s">
        <v>259</v>
      </c>
      <c r="G279" s="13" t="s">
        <v>594</v>
      </c>
      <c r="H279" s="3"/>
      <c r="I279" t="s">
        <v>12</v>
      </c>
      <c r="J279" t="e">
        <f>+_xlfn.XLOOKUP(E279,#REF!,F:F,"ZERO",0,1)</f>
        <v>#REF!</v>
      </c>
    </row>
    <row r="280" spans="5:10" x14ac:dyDescent="0.3">
      <c r="E280" s="13" t="s">
        <v>263</v>
      </c>
      <c r="F280" s="13" t="s">
        <v>572</v>
      </c>
      <c r="G280" s="13" t="s">
        <v>594</v>
      </c>
      <c r="I280" t="s">
        <v>16</v>
      </c>
      <c r="J280" t="e">
        <f>+_xlfn.XLOOKUP(E280,#REF!,F:F,"ZERO",0,1)</f>
        <v>#REF!</v>
      </c>
    </row>
    <row r="281" spans="5:10" x14ac:dyDescent="0.3">
      <c r="E281" s="13" t="s">
        <v>262</v>
      </c>
      <c r="F281" s="13" t="s">
        <v>261</v>
      </c>
      <c r="G281" s="13" t="s">
        <v>593</v>
      </c>
      <c r="I281" t="s">
        <v>12</v>
      </c>
      <c r="J281" t="e">
        <f>+_xlfn.XLOOKUP(E281,#REF!,F:F,"ZERO",0,1)</f>
        <v>#REF!</v>
      </c>
    </row>
    <row r="282" spans="5:10" x14ac:dyDescent="0.3">
      <c r="E282" s="13" t="s">
        <v>265</v>
      </c>
      <c r="F282" s="13" t="s">
        <v>266</v>
      </c>
      <c r="G282" s="13" t="s">
        <v>593</v>
      </c>
      <c r="I282" t="s">
        <v>12</v>
      </c>
      <c r="J282" t="e">
        <f>+_xlfn.XLOOKUP(E282,#REF!,F:F,"ZERO",0,1)</f>
        <v>#REF!</v>
      </c>
    </row>
    <row r="283" spans="5:10" x14ac:dyDescent="0.3">
      <c r="E283" s="13" t="s">
        <v>269</v>
      </c>
      <c r="F283" s="13" t="s">
        <v>571</v>
      </c>
      <c r="G283" s="13" t="s">
        <v>594</v>
      </c>
      <c r="I283" t="s">
        <v>16</v>
      </c>
      <c r="J283" t="e">
        <f>+_xlfn.XLOOKUP(E283,#REF!,F:F,"ZERO",0,1)</f>
        <v>#REF!</v>
      </c>
    </row>
    <row r="284" spans="5:10" x14ac:dyDescent="0.3">
      <c r="E284" s="13" t="s">
        <v>273</v>
      </c>
      <c r="F284" s="13" t="s">
        <v>274</v>
      </c>
      <c r="G284" s="13" t="s">
        <v>593</v>
      </c>
      <c r="I284" t="s">
        <v>12</v>
      </c>
      <c r="J284" t="e">
        <f>+_xlfn.XLOOKUP(E284,#REF!,F:F,"ZERO",0,1)</f>
        <v>#REF!</v>
      </c>
    </row>
    <row r="285" spans="5:10" x14ac:dyDescent="0.3">
      <c r="E285" s="13" t="s">
        <v>270</v>
      </c>
      <c r="F285" s="13" t="s">
        <v>271</v>
      </c>
      <c r="G285" s="13" t="s">
        <v>593</v>
      </c>
      <c r="I285" t="s">
        <v>16</v>
      </c>
      <c r="J285" t="e">
        <f>+_xlfn.XLOOKUP(E285,#REF!,F:F,"ZERO",0,1)</f>
        <v>#REF!</v>
      </c>
    </row>
    <row r="286" spans="5:10" x14ac:dyDescent="0.3">
      <c r="E286" s="13" t="s">
        <v>276</v>
      </c>
      <c r="F286" s="13" t="s">
        <v>277</v>
      </c>
      <c r="G286" s="13" t="s">
        <v>594</v>
      </c>
      <c r="H286" s="3"/>
      <c r="I286" t="s">
        <v>12</v>
      </c>
      <c r="J286" t="e">
        <f>+_xlfn.XLOOKUP(E286,#REF!,F:F,"ZERO",0,1)</f>
        <v>#REF!</v>
      </c>
    </row>
    <row r="287" spans="5:10" x14ac:dyDescent="0.3">
      <c r="E287" s="13" t="s">
        <v>279</v>
      </c>
      <c r="F287" s="13" t="s">
        <v>280</v>
      </c>
      <c r="G287" s="13" t="s">
        <v>594</v>
      </c>
      <c r="H287" s="3"/>
      <c r="I287" t="s">
        <v>16</v>
      </c>
      <c r="J287" t="e">
        <f>+_xlfn.XLOOKUP(E287,#REF!,F:F,"ZERO",0,1)</f>
        <v>#REF!</v>
      </c>
    </row>
    <row r="288" spans="5:10" x14ac:dyDescent="0.3">
      <c r="E288" s="13" t="s">
        <v>283</v>
      </c>
      <c r="F288" s="13" t="s">
        <v>570</v>
      </c>
      <c r="G288" t="s">
        <v>594</v>
      </c>
      <c r="I288" t="s">
        <v>16</v>
      </c>
      <c r="J288" t="e">
        <f>+_xlfn.XLOOKUP(E288,#REF!,F:F,"ZERO",0,1)</f>
        <v>#REF!</v>
      </c>
    </row>
    <row r="289" spans="5:10" x14ac:dyDescent="0.3">
      <c r="E289" s="13" t="s">
        <v>293</v>
      </c>
      <c r="F289" s="13" t="s">
        <v>569</v>
      </c>
      <c r="G289" s="13" t="s">
        <v>593</v>
      </c>
      <c r="I289" t="s">
        <v>12</v>
      </c>
      <c r="J289" t="e">
        <f>+_xlfn.XLOOKUP(E289,#REF!,F:F,"ZERO",0,1)</f>
        <v>#REF!</v>
      </c>
    </row>
    <row r="290" spans="5:10" x14ac:dyDescent="0.3">
      <c r="E290" s="13" t="s">
        <v>301</v>
      </c>
      <c r="F290" s="13" t="s">
        <v>300</v>
      </c>
      <c r="G290" s="13" t="s">
        <v>593</v>
      </c>
      <c r="I290" t="s">
        <v>16</v>
      </c>
      <c r="J290" t="e">
        <f>+_xlfn.XLOOKUP(E290,#REF!,F:F,"ZERO",0,1)</f>
        <v>#REF!</v>
      </c>
    </row>
    <row r="291" spans="5:10" x14ac:dyDescent="0.3">
      <c r="E291" s="13" t="s">
        <v>297</v>
      </c>
      <c r="F291" s="13" t="s">
        <v>568</v>
      </c>
      <c r="G291" s="13" t="s">
        <v>631</v>
      </c>
      <c r="I291" t="s">
        <v>12</v>
      </c>
      <c r="J291" t="e">
        <f>+_xlfn.XLOOKUP(E291,#REF!,F:F,"ZERO",0,1)</f>
        <v>#REF!</v>
      </c>
    </row>
    <row r="292" spans="5:10" x14ac:dyDescent="0.3">
      <c r="E292" s="13" t="s">
        <v>290</v>
      </c>
      <c r="F292" s="13" t="s">
        <v>289</v>
      </c>
      <c r="G292" s="13" t="s">
        <v>631</v>
      </c>
      <c r="I292" t="s">
        <v>16</v>
      </c>
      <c r="J292" t="e">
        <f>+_xlfn.XLOOKUP(E292,#REF!,F:F,"ZERO",0,1)</f>
        <v>#REF!</v>
      </c>
    </row>
    <row r="293" spans="5:10" x14ac:dyDescent="0.3">
      <c r="E293" s="13" t="s">
        <v>287</v>
      </c>
      <c r="F293" s="13" t="s">
        <v>288</v>
      </c>
      <c r="G293" s="13" t="s">
        <v>593</v>
      </c>
      <c r="I293" t="s">
        <v>12</v>
      </c>
      <c r="J293" t="e">
        <f>+_xlfn.XLOOKUP(E293,#REF!,F:F,"ZERO",0,1)</f>
        <v>#REF!</v>
      </c>
    </row>
    <row r="294" spans="5:10" x14ac:dyDescent="0.3">
      <c r="E294" s="13" t="s">
        <v>286</v>
      </c>
      <c r="F294" s="13" t="s">
        <v>285</v>
      </c>
      <c r="G294" s="13" t="s">
        <v>594</v>
      </c>
      <c r="I294" t="s">
        <v>16</v>
      </c>
      <c r="J294" t="e">
        <f>+_xlfn.XLOOKUP(E294,#REF!,F:F,"ZERO",0,1)</f>
        <v>#REF!</v>
      </c>
    </row>
    <row r="295" spans="5:10" x14ac:dyDescent="0.3">
      <c r="E295" s="13" t="s">
        <v>292</v>
      </c>
      <c r="F295" s="13" t="s">
        <v>567</v>
      </c>
      <c r="G295" s="13" t="s">
        <v>594</v>
      </c>
      <c r="I295" t="s">
        <v>12</v>
      </c>
      <c r="J295" t="e">
        <f>+_xlfn.XLOOKUP(E295,#REF!,F:F,"ZERO",0,1)</f>
        <v>#REF!</v>
      </c>
    </row>
    <row r="296" spans="5:10" x14ac:dyDescent="0.3">
      <c r="E296" s="13" t="s">
        <v>294</v>
      </c>
      <c r="F296" s="13" t="s">
        <v>295</v>
      </c>
      <c r="G296" s="13" t="s">
        <v>594</v>
      </c>
      <c r="H296" s="3"/>
      <c r="I296" t="s">
        <v>16</v>
      </c>
      <c r="J296" t="e">
        <f>+_xlfn.XLOOKUP(E296,#REF!,F:F,"ZERO",0,1)</f>
        <v>#REF!</v>
      </c>
    </row>
    <row r="297" spans="5:10" x14ac:dyDescent="0.3">
      <c r="E297" s="13" t="s">
        <v>317</v>
      </c>
      <c r="F297" s="13" t="s">
        <v>316</v>
      </c>
      <c r="G297" s="13" t="s">
        <v>593</v>
      </c>
      <c r="H297" s="3"/>
      <c r="I297" t="s">
        <v>12</v>
      </c>
      <c r="J297" t="e">
        <f>+_xlfn.XLOOKUP(E297,#REF!,F:F,"ZERO",0,1)</f>
        <v>#REF!</v>
      </c>
    </row>
    <row r="298" spans="5:10" x14ac:dyDescent="0.3">
      <c r="E298" s="13" t="s">
        <v>319</v>
      </c>
      <c r="F298" s="13" t="s">
        <v>566</v>
      </c>
      <c r="G298" s="13" t="s">
        <v>593</v>
      </c>
      <c r="I298" t="s">
        <v>16</v>
      </c>
      <c r="J298" t="e">
        <f>+_xlfn.XLOOKUP(E298,#REF!,F:F,"ZERO",0,1)</f>
        <v>#REF!</v>
      </c>
    </row>
    <row r="299" spans="5:10" x14ac:dyDescent="0.3">
      <c r="E299" s="13" t="s">
        <v>315</v>
      </c>
      <c r="F299" s="13" t="s">
        <v>565</v>
      </c>
      <c r="G299" s="13" t="s">
        <v>593</v>
      </c>
      <c r="I299" t="s">
        <v>12</v>
      </c>
      <c r="J299" t="e">
        <f>+_xlfn.XLOOKUP(E299,#REF!,F:F,"ZERO",0,1)</f>
        <v>#REF!</v>
      </c>
    </row>
    <row r="300" spans="5:10" x14ac:dyDescent="0.3">
      <c r="E300" s="13" t="s">
        <v>324</v>
      </c>
      <c r="F300" s="13" t="s">
        <v>323</v>
      </c>
      <c r="G300" s="13" t="s">
        <v>593</v>
      </c>
      <c r="H300" s="3"/>
      <c r="I300" t="s">
        <v>16</v>
      </c>
      <c r="J300" t="e">
        <f>+_xlfn.XLOOKUP(E300,#REF!,F:F,"ZERO",0,1)</f>
        <v>#REF!</v>
      </c>
    </row>
    <row r="301" spans="5:10" x14ac:dyDescent="0.3">
      <c r="E301" s="13" t="s">
        <v>326</v>
      </c>
      <c r="F301" s="13" t="s">
        <v>325</v>
      </c>
      <c r="G301" s="13" t="s">
        <v>594</v>
      </c>
      <c r="H301" s="3"/>
      <c r="I301" t="s">
        <v>12</v>
      </c>
      <c r="J301" t="e">
        <f>+_xlfn.XLOOKUP(E301,#REF!,F:F,"ZERO",0,1)</f>
        <v>#REF!</v>
      </c>
    </row>
    <row r="302" spans="5:10" x14ac:dyDescent="0.3">
      <c r="E302" s="13" t="s">
        <v>327</v>
      </c>
      <c r="F302" s="13" t="s">
        <v>564</v>
      </c>
      <c r="G302" s="13" t="s">
        <v>594</v>
      </c>
      <c r="H302" s="3"/>
      <c r="I302" t="s">
        <v>16</v>
      </c>
      <c r="J302" t="e">
        <f>+_xlfn.XLOOKUP(E302,#REF!,F:F,"ZERO",0,1)</f>
        <v>#REF!</v>
      </c>
    </row>
    <row r="303" spans="5:10" x14ac:dyDescent="0.3">
      <c r="E303" s="13" t="s">
        <v>330</v>
      </c>
      <c r="F303" s="13" t="s">
        <v>563</v>
      </c>
      <c r="G303" s="13" t="s">
        <v>594</v>
      </c>
      <c r="H303" s="3"/>
      <c r="I303" t="s">
        <v>12</v>
      </c>
      <c r="J303" t="e">
        <f>+_xlfn.XLOOKUP(E303,#REF!,F:F,"ZERO",0,1)</f>
        <v>#REF!</v>
      </c>
    </row>
    <row r="304" spans="5:10" x14ac:dyDescent="0.3">
      <c r="E304" s="13" t="s">
        <v>333</v>
      </c>
      <c r="F304" s="13" t="s">
        <v>332</v>
      </c>
      <c r="G304" s="13" t="s">
        <v>593</v>
      </c>
      <c r="I304" t="s">
        <v>16</v>
      </c>
      <c r="J304" t="e">
        <f>+_xlfn.XLOOKUP(E304,#REF!,F:F,"ZERO",0,1)</f>
        <v>#REF!</v>
      </c>
    </row>
    <row r="305" spans="5:10" x14ac:dyDescent="0.3">
      <c r="E305" s="13" t="s">
        <v>334</v>
      </c>
      <c r="F305" s="13" t="s">
        <v>335</v>
      </c>
      <c r="G305" s="13" t="s">
        <v>593</v>
      </c>
      <c r="I305" t="s">
        <v>12</v>
      </c>
      <c r="J305" t="e">
        <f>+_xlfn.XLOOKUP(E305,#REF!,F:F,"ZERO",0,1)</f>
        <v>#REF!</v>
      </c>
    </row>
    <row r="306" spans="5:10" x14ac:dyDescent="0.3">
      <c r="E306" s="13" t="s">
        <v>337</v>
      </c>
      <c r="F306" s="13" t="s">
        <v>338</v>
      </c>
      <c r="G306" s="13" t="s">
        <v>593</v>
      </c>
      <c r="H306" s="3"/>
      <c r="I306" t="s">
        <v>16</v>
      </c>
      <c r="J306" t="e">
        <f>+_xlfn.XLOOKUP(E306,#REF!,F:F,"ZERO",0,1)</f>
        <v>#REF!</v>
      </c>
    </row>
    <row r="307" spans="5:10" x14ac:dyDescent="0.3">
      <c r="E307" s="13" t="s">
        <v>339</v>
      </c>
      <c r="F307" s="13" t="s">
        <v>562</v>
      </c>
      <c r="G307" s="13" t="s">
        <v>593</v>
      </c>
      <c r="H307" s="3"/>
      <c r="I307" t="s">
        <v>12</v>
      </c>
      <c r="J307" t="e">
        <f>+_xlfn.XLOOKUP(E307,#REF!,F:F,"ZERO",0,1)</f>
        <v>#REF!</v>
      </c>
    </row>
    <row r="308" spans="5:10" x14ac:dyDescent="0.3">
      <c r="E308" s="13" t="s">
        <v>341</v>
      </c>
      <c r="F308" s="13" t="s">
        <v>340</v>
      </c>
      <c r="G308" s="13" t="s">
        <v>593</v>
      </c>
      <c r="H308" s="3"/>
      <c r="I308" t="s">
        <v>16</v>
      </c>
      <c r="J308" t="e">
        <f>+_xlfn.XLOOKUP(E308,#REF!,F:F,"ZERO",0,1)</f>
        <v>#REF!</v>
      </c>
    </row>
    <row r="309" spans="5:10" x14ac:dyDescent="0.3">
      <c r="E309" s="13" t="s">
        <v>302</v>
      </c>
      <c r="F309" s="18" t="s">
        <v>303</v>
      </c>
      <c r="G309" s="13" t="s">
        <v>594</v>
      </c>
      <c r="H309" s="3"/>
      <c r="I309" t="s">
        <v>12</v>
      </c>
      <c r="J309" t="e">
        <f>+_xlfn.XLOOKUP(E309,#REF!,F:F,"ZERO",0,1)</f>
        <v>#REF!</v>
      </c>
    </row>
    <row r="310" spans="5:10" x14ac:dyDescent="0.3">
      <c r="E310" s="13" t="s">
        <v>306</v>
      </c>
      <c r="F310" s="18" t="s">
        <v>561</v>
      </c>
      <c r="G310" s="13" t="s">
        <v>594</v>
      </c>
      <c r="I310" t="s">
        <v>16</v>
      </c>
      <c r="J310" t="e">
        <f>+_xlfn.XLOOKUP(E310,#REF!,F:F,"ZERO",0,1)</f>
        <v>#REF!</v>
      </c>
    </row>
    <row r="311" spans="5:10" x14ac:dyDescent="0.3">
      <c r="E311" s="13" t="s">
        <v>308</v>
      </c>
      <c r="F311" s="18" t="s">
        <v>307</v>
      </c>
      <c r="G311" t="s">
        <v>594</v>
      </c>
      <c r="I311" t="s">
        <v>12</v>
      </c>
      <c r="J311" t="e">
        <f>+_xlfn.XLOOKUP(E311,#REF!,F:F,"ZERO",0,1)</f>
        <v>#REF!</v>
      </c>
    </row>
    <row r="312" spans="5:10" x14ac:dyDescent="0.3">
      <c r="E312" s="13" t="s">
        <v>311</v>
      </c>
      <c r="F312" s="18" t="s">
        <v>310</v>
      </c>
      <c r="G312" s="13" t="s">
        <v>593</v>
      </c>
      <c r="H312" s="3"/>
      <c r="I312" t="s">
        <v>16</v>
      </c>
      <c r="J312" t="e">
        <f>+_xlfn.XLOOKUP(E312,#REF!,F:F,"ZERO",0,1)</f>
        <v>#REF!</v>
      </c>
    </row>
    <row r="313" spans="5:10" x14ac:dyDescent="0.3">
      <c r="E313" s="29" t="s">
        <v>312</v>
      </c>
      <c r="F313" s="30" t="s">
        <v>313</v>
      </c>
      <c r="G313" s="12" t="s">
        <v>594</v>
      </c>
      <c r="H313" s="3"/>
      <c r="I313" t="s">
        <v>12</v>
      </c>
      <c r="J313" t="e">
        <f>+_xlfn.XLOOKUP(E313,#REF!,F:F,"ZERO",0,1)</f>
        <v>#REF!</v>
      </c>
    </row>
    <row r="314" spans="5:10" x14ac:dyDescent="0.3">
      <c r="E314" s="17" t="s">
        <v>320</v>
      </c>
      <c r="F314" s="31" t="s">
        <v>321</v>
      </c>
      <c r="G314" s="13" t="s">
        <v>594</v>
      </c>
      <c r="I314" t="s">
        <v>16</v>
      </c>
      <c r="J314" t="e">
        <f>+_xlfn.XLOOKUP(E314,#REF!,F:F,"ZERO",0,1)</f>
        <v>#REF!</v>
      </c>
    </row>
    <row r="315" spans="5:10" x14ac:dyDescent="0.3">
      <c r="E315" s="17" t="s">
        <v>344</v>
      </c>
      <c r="F315" s="20" t="s">
        <v>560</v>
      </c>
      <c r="G315" s="13" t="s">
        <v>593</v>
      </c>
      <c r="I315" t="s">
        <v>12</v>
      </c>
      <c r="J315" t="e">
        <f>+_xlfn.XLOOKUP(E315,#REF!,F:F,"ZERO",0,1)</f>
        <v>#REF!</v>
      </c>
    </row>
    <row r="316" spans="5:10" x14ac:dyDescent="0.3">
      <c r="E316" s="17" t="s">
        <v>346</v>
      </c>
      <c r="F316" s="20" t="s">
        <v>347</v>
      </c>
      <c r="G316" s="13" t="s">
        <v>594</v>
      </c>
      <c r="I316" t="s">
        <v>12</v>
      </c>
      <c r="J316" t="e">
        <f>+_xlfn.XLOOKUP(E316,#REF!,F:F,"ZERO",0,1)</f>
        <v>#REF!</v>
      </c>
    </row>
    <row r="317" spans="5:10" x14ac:dyDescent="0.3">
      <c r="E317" s="17" t="s">
        <v>349</v>
      </c>
      <c r="F317" s="20" t="s">
        <v>350</v>
      </c>
      <c r="G317" s="13" t="s">
        <v>593</v>
      </c>
      <c r="I317" t="s">
        <v>16</v>
      </c>
      <c r="J317" t="e">
        <f>+_xlfn.XLOOKUP(E317,#REF!,F:F,"ZERO",0,1)</f>
        <v>#REF!</v>
      </c>
    </row>
    <row r="318" spans="5:10" x14ac:dyDescent="0.3">
      <c r="E318" s="17" t="s">
        <v>351</v>
      </c>
      <c r="F318" s="20" t="s">
        <v>559</v>
      </c>
      <c r="G318" s="13" t="s">
        <v>593</v>
      </c>
      <c r="I318" t="s">
        <v>12</v>
      </c>
      <c r="J318" t="e">
        <f>+_xlfn.XLOOKUP(E318,#REF!,F:F,"ZERO",0,1)</f>
        <v>#REF!</v>
      </c>
    </row>
    <row r="319" spans="5:10" x14ac:dyDescent="0.3">
      <c r="E319" s="17" t="s">
        <v>352</v>
      </c>
      <c r="F319" s="20" t="s">
        <v>558</v>
      </c>
      <c r="G319" s="13" t="s">
        <v>594</v>
      </c>
      <c r="I319" t="s">
        <v>16</v>
      </c>
      <c r="J319" t="e">
        <f>+_xlfn.XLOOKUP(E319,#REF!,F:F,"ZERO",0,1)</f>
        <v>#REF!</v>
      </c>
    </row>
    <row r="320" spans="5:10" x14ac:dyDescent="0.3">
      <c r="E320" s="17" t="s">
        <v>353</v>
      </c>
      <c r="F320" s="20" t="s">
        <v>354</v>
      </c>
      <c r="G320" s="13" t="s">
        <v>593</v>
      </c>
      <c r="I320" t="s">
        <v>12</v>
      </c>
      <c r="J320" t="e">
        <f>+_xlfn.XLOOKUP(E320,#REF!,F:F,"ZERO",0,1)</f>
        <v>#REF!</v>
      </c>
    </row>
    <row r="321" spans="5:10" x14ac:dyDescent="0.3">
      <c r="E321" s="17" t="s">
        <v>356</v>
      </c>
      <c r="F321" s="20" t="s">
        <v>357</v>
      </c>
      <c r="G321" s="13" t="s">
        <v>594</v>
      </c>
      <c r="I321" t="s">
        <v>16</v>
      </c>
      <c r="J321" t="e">
        <f>+_xlfn.XLOOKUP(E321,#REF!,F:F,"ZERO",0,1)</f>
        <v>#REF!</v>
      </c>
    </row>
    <row r="322" spans="5:10" x14ac:dyDescent="0.3">
      <c r="E322" s="17" t="s">
        <v>378</v>
      </c>
      <c r="F322" s="20" t="s">
        <v>377</v>
      </c>
      <c r="G322" s="13" t="s">
        <v>593</v>
      </c>
      <c r="H322" s="3"/>
      <c r="I322" t="s">
        <v>16</v>
      </c>
      <c r="J322" t="e">
        <f>+_xlfn.XLOOKUP(E322,#REF!,F:F,"ZERO",0,1)</f>
        <v>#REF!</v>
      </c>
    </row>
    <row r="323" spans="5:10" x14ac:dyDescent="0.3">
      <c r="E323" s="17" t="s">
        <v>375</v>
      </c>
      <c r="F323" s="20" t="s">
        <v>374</v>
      </c>
      <c r="G323" s="13" t="s">
        <v>594</v>
      </c>
      <c r="H323" s="3"/>
      <c r="I323" t="s">
        <v>12</v>
      </c>
      <c r="J323" t="e">
        <f>+_xlfn.XLOOKUP(E323,#REF!,F:F,"ZERO",0,1)</f>
        <v>#REF!</v>
      </c>
    </row>
    <row r="324" spans="5:10" x14ac:dyDescent="0.3">
      <c r="E324" s="17" t="s">
        <v>372</v>
      </c>
      <c r="F324" s="20" t="s">
        <v>371</v>
      </c>
      <c r="G324" t="s">
        <v>594</v>
      </c>
      <c r="I324" t="s">
        <v>16</v>
      </c>
      <c r="J324" t="e">
        <f>+_xlfn.XLOOKUP(E324,#REF!,F:F,"ZERO",0,1)</f>
        <v>#REF!</v>
      </c>
    </row>
    <row r="325" spans="5:10" x14ac:dyDescent="0.3">
      <c r="E325" s="17" t="s">
        <v>369</v>
      </c>
      <c r="F325" s="20" t="s">
        <v>557</v>
      </c>
      <c r="G325" s="13" t="s">
        <v>594</v>
      </c>
      <c r="I325" t="s">
        <v>12</v>
      </c>
      <c r="J325" t="e">
        <f>+_xlfn.XLOOKUP(E325,#REF!,F:F,"ZERO",0,1)</f>
        <v>#REF!</v>
      </c>
    </row>
    <row r="326" spans="5:10" x14ac:dyDescent="0.3">
      <c r="E326" s="17" t="s">
        <v>365</v>
      </c>
      <c r="F326" s="20" t="s">
        <v>366</v>
      </c>
      <c r="G326" s="13" t="s">
        <v>631</v>
      </c>
      <c r="I326" t="s">
        <v>16</v>
      </c>
      <c r="J326" t="e">
        <f>+_xlfn.XLOOKUP(E326,#REF!,F:F,"ZERO",0,1)</f>
        <v>#REF!</v>
      </c>
    </row>
    <row r="327" spans="5:10" x14ac:dyDescent="0.3">
      <c r="E327" s="17" t="s">
        <v>364</v>
      </c>
      <c r="F327" s="20" t="s">
        <v>363</v>
      </c>
      <c r="G327" s="13" t="s">
        <v>631</v>
      </c>
      <c r="I327" t="s">
        <v>12</v>
      </c>
      <c r="J327" t="e">
        <f>+_xlfn.XLOOKUP(E327,#REF!,F:F,"ZERO",0,1)</f>
        <v>#REF!</v>
      </c>
    </row>
    <row r="328" spans="5:10" x14ac:dyDescent="0.3">
      <c r="E328" s="17" t="s">
        <v>359</v>
      </c>
      <c r="F328" s="20" t="s">
        <v>360</v>
      </c>
      <c r="G328" s="13" t="s">
        <v>594</v>
      </c>
      <c r="I328" t="s">
        <v>12</v>
      </c>
      <c r="J328" t="e">
        <f>+_xlfn.XLOOKUP(E328,#REF!,F:F,"ZERO",0,1)</f>
        <v>#REF!</v>
      </c>
    </row>
    <row r="329" spans="5:10" x14ac:dyDescent="0.3">
      <c r="E329" s="17" t="s">
        <v>379</v>
      </c>
      <c r="F329" s="20" t="s">
        <v>380</v>
      </c>
      <c r="G329" s="13" t="s">
        <v>593</v>
      </c>
      <c r="I329" t="s">
        <v>12</v>
      </c>
      <c r="J329" t="e">
        <f>+_xlfn.XLOOKUP(E329,#REF!,F:F,"ZERO",0,1)</f>
        <v>#REF!</v>
      </c>
    </row>
    <row r="330" spans="5:10" x14ac:dyDescent="0.3">
      <c r="E330" s="17" t="s">
        <v>382</v>
      </c>
      <c r="F330" s="20" t="s">
        <v>383</v>
      </c>
      <c r="G330" s="13" t="s">
        <v>594</v>
      </c>
      <c r="I330" t="s">
        <v>16</v>
      </c>
      <c r="J330" t="e">
        <f>+_xlfn.XLOOKUP(E330,#REF!,F:F,"ZERO",0,1)</f>
        <v>#REF!</v>
      </c>
    </row>
    <row r="331" spans="5:10" x14ac:dyDescent="0.3">
      <c r="E331" s="17" t="s">
        <v>393</v>
      </c>
      <c r="F331" s="20" t="s">
        <v>392</v>
      </c>
      <c r="G331" s="13" t="s">
        <v>593</v>
      </c>
      <c r="I331" t="s">
        <v>12</v>
      </c>
      <c r="J331" t="e">
        <f>+_xlfn.XLOOKUP(E331,#REF!,F:F,"ZERO",0,1)</f>
        <v>#REF!</v>
      </c>
    </row>
    <row r="332" spans="5:10" x14ac:dyDescent="0.3">
      <c r="E332" s="17" t="s">
        <v>387</v>
      </c>
      <c r="F332" s="20" t="s">
        <v>386</v>
      </c>
      <c r="G332" s="13" t="s">
        <v>594</v>
      </c>
      <c r="H332" s="3"/>
      <c r="I332" t="s">
        <v>16</v>
      </c>
      <c r="J332" t="e">
        <f>+_xlfn.XLOOKUP(E332,#REF!,F:F,"ZERO",0,1)</f>
        <v>#REF!</v>
      </c>
    </row>
    <row r="333" spans="5:10" x14ac:dyDescent="0.3">
      <c r="E333" s="17" t="s">
        <v>388</v>
      </c>
      <c r="F333" s="20" t="s">
        <v>556</v>
      </c>
      <c r="G333" s="13" t="s">
        <v>594</v>
      </c>
      <c r="H333" s="3"/>
      <c r="I333" t="s">
        <v>12</v>
      </c>
      <c r="J333" t="e">
        <f>+_xlfn.XLOOKUP(E333,#REF!,F:F,"ZERO",0,1)</f>
        <v>#REF!</v>
      </c>
    </row>
    <row r="334" spans="5:10" x14ac:dyDescent="0.3">
      <c r="E334" s="17" t="s">
        <v>394</v>
      </c>
      <c r="F334" s="20" t="s">
        <v>555</v>
      </c>
      <c r="G334" s="13" t="s">
        <v>593</v>
      </c>
      <c r="I334" t="s">
        <v>16</v>
      </c>
      <c r="J334" t="e">
        <f>+_xlfn.XLOOKUP(E334,#REF!,F:F,"ZERO",0,1)</f>
        <v>#REF!</v>
      </c>
    </row>
    <row r="335" spans="5:10" x14ac:dyDescent="0.3">
      <c r="E335" s="17" t="s">
        <v>389</v>
      </c>
      <c r="F335" s="20" t="s">
        <v>554</v>
      </c>
      <c r="G335" s="12" t="s">
        <v>593</v>
      </c>
      <c r="I335" t="s">
        <v>12</v>
      </c>
      <c r="J335" t="e">
        <f>+_xlfn.XLOOKUP(E335,#REF!,F:F,"ZERO",0,1)</f>
        <v>#REF!</v>
      </c>
    </row>
    <row r="336" spans="5:10" x14ac:dyDescent="0.3">
      <c r="E336" s="17" t="s">
        <v>398</v>
      </c>
      <c r="F336" s="20" t="s">
        <v>397</v>
      </c>
      <c r="G336" s="13" t="s">
        <v>593</v>
      </c>
      <c r="I336" t="s">
        <v>16</v>
      </c>
      <c r="J336" t="e">
        <f>+_xlfn.XLOOKUP(E336,#REF!,F:F,"ZERO",0,1)</f>
        <v>#REF!</v>
      </c>
    </row>
    <row r="337" spans="5:10" x14ac:dyDescent="0.3">
      <c r="E337" s="17" t="s">
        <v>399</v>
      </c>
      <c r="F337" s="20" t="s">
        <v>400</v>
      </c>
      <c r="G337" s="13" t="s">
        <v>594</v>
      </c>
      <c r="I337" t="s">
        <v>12</v>
      </c>
      <c r="J337" t="e">
        <f>+_xlfn.XLOOKUP(E337,#REF!,F:F,"ZERO",0,1)</f>
        <v>#REF!</v>
      </c>
    </row>
    <row r="338" spans="5:10" x14ac:dyDescent="0.3">
      <c r="E338" s="17" t="s">
        <v>403</v>
      </c>
      <c r="F338" s="20" t="s">
        <v>402</v>
      </c>
      <c r="G338" s="13" t="s">
        <v>594</v>
      </c>
      <c r="H338" s="3"/>
      <c r="I338" t="s">
        <v>16</v>
      </c>
      <c r="J338" t="e">
        <f>+_xlfn.XLOOKUP(E338,#REF!,F:F,"ZERO",0,1)</f>
        <v>#REF!</v>
      </c>
    </row>
    <row r="339" spans="5:10" x14ac:dyDescent="0.3">
      <c r="E339" s="17" t="s">
        <v>342</v>
      </c>
      <c r="F339" s="20" t="s">
        <v>553</v>
      </c>
      <c r="G339" s="13" t="s">
        <v>593</v>
      </c>
      <c r="H339" s="3"/>
      <c r="I339" t="s">
        <v>12</v>
      </c>
      <c r="J339" t="e">
        <f>+_xlfn.XLOOKUP(E339,#REF!,F:F,"ZERO",0,1)</f>
        <v>#REF!</v>
      </c>
    </row>
    <row r="340" spans="5:10" x14ac:dyDescent="0.3">
      <c r="E340" s="20" t="s">
        <v>404</v>
      </c>
      <c r="F340" s="20" t="s">
        <v>405</v>
      </c>
      <c r="G340" s="13" t="s">
        <v>593</v>
      </c>
      <c r="I340" t="s">
        <v>16</v>
      </c>
      <c r="J340" t="e">
        <f>+_xlfn.XLOOKUP(E340,#REF!,F:F,"ZERO",0,1)</f>
        <v>#REF!</v>
      </c>
    </row>
    <row r="341" spans="5:10" x14ac:dyDescent="0.3">
      <c r="E341" s="20" t="s">
        <v>407</v>
      </c>
      <c r="F341" s="20" t="s">
        <v>408</v>
      </c>
      <c r="G341" s="13" t="s">
        <v>593</v>
      </c>
      <c r="I341" t="s">
        <v>12</v>
      </c>
      <c r="J341" t="e">
        <f>+_xlfn.XLOOKUP(E341,#REF!,F:F,"ZERO",0,1)</f>
        <v>#REF!</v>
      </c>
    </row>
    <row r="342" spans="5:10" x14ac:dyDescent="0.3">
      <c r="E342" s="20" t="s">
        <v>411</v>
      </c>
      <c r="F342" s="20" t="s">
        <v>410</v>
      </c>
      <c r="G342" s="13" t="s">
        <v>631</v>
      </c>
      <c r="I342" t="s">
        <v>16</v>
      </c>
      <c r="J342" t="e">
        <f>+_xlfn.XLOOKUP(E342,#REF!,F:F,"ZERO",0,1)</f>
        <v>#REF!</v>
      </c>
    </row>
    <row r="343" spans="5:10" x14ac:dyDescent="0.3">
      <c r="E343" s="20" t="s">
        <v>126</v>
      </c>
      <c r="F343" s="20" t="s">
        <v>127</v>
      </c>
      <c r="G343" s="13" t="s">
        <v>599</v>
      </c>
      <c r="I343" t="s">
        <v>12</v>
      </c>
      <c r="J343" t="e">
        <f>+_xlfn.XLOOKUP(E343,#REF!,F:F,"ZERO",0,1)</f>
        <v>#REF!</v>
      </c>
    </row>
    <row r="344" spans="5:10" x14ac:dyDescent="0.3">
      <c r="E344" s="20" t="s">
        <v>412</v>
      </c>
      <c r="F344" s="20" t="s">
        <v>413</v>
      </c>
      <c r="G344" s="13" t="s">
        <v>593</v>
      </c>
      <c r="H344" s="3"/>
      <c r="I344" t="s">
        <v>16</v>
      </c>
      <c r="J344" t="e">
        <f>+_xlfn.XLOOKUP(E344,#REF!,F:F,"ZERO",0,1)</f>
        <v>#REF!</v>
      </c>
    </row>
    <row r="345" spans="5:10" x14ac:dyDescent="0.3">
      <c r="E345" s="20" t="s">
        <v>415</v>
      </c>
      <c r="F345" s="20" t="s">
        <v>552</v>
      </c>
      <c r="G345" s="13" t="s">
        <v>593</v>
      </c>
      <c r="H345" s="3"/>
      <c r="I345" t="s">
        <v>12</v>
      </c>
      <c r="J345" t="e">
        <f>+_xlfn.XLOOKUP(E345,#REF!,F:F,"ZERO",0,1)</f>
        <v>#REF!</v>
      </c>
    </row>
    <row r="346" spans="5:10" x14ac:dyDescent="0.3">
      <c r="E346" s="20" t="s">
        <v>423</v>
      </c>
      <c r="F346" s="20" t="s">
        <v>551</v>
      </c>
      <c r="G346" s="13" t="s">
        <v>593</v>
      </c>
      <c r="I346" t="s">
        <v>16</v>
      </c>
      <c r="J346" t="e">
        <f>+_xlfn.XLOOKUP(E346,#REF!,F:F,"ZERO",0,1)</f>
        <v>#REF!</v>
      </c>
    </row>
    <row r="347" spans="5:10" x14ac:dyDescent="0.3">
      <c r="E347" s="20" t="s">
        <v>422</v>
      </c>
      <c r="F347" s="20" t="s">
        <v>421</v>
      </c>
      <c r="G347" s="13" t="s">
        <v>593</v>
      </c>
      <c r="I347" t="s">
        <v>12</v>
      </c>
      <c r="J347" t="e">
        <f>+_xlfn.XLOOKUP(E347,#REF!,F:F,"ZERO",0,1)</f>
        <v>#REF!</v>
      </c>
    </row>
    <row r="348" spans="5:10" x14ac:dyDescent="0.3">
      <c r="E348" s="20" t="s">
        <v>418</v>
      </c>
      <c r="F348" s="20" t="s">
        <v>550</v>
      </c>
      <c r="G348" s="13" t="s">
        <v>593</v>
      </c>
      <c r="I348" t="s">
        <v>16</v>
      </c>
      <c r="J348" t="e">
        <f>+_xlfn.XLOOKUP(E348,#REF!,F:F,"ZERO",0,1)</f>
        <v>#REF!</v>
      </c>
    </row>
    <row r="349" spans="5:10" x14ac:dyDescent="0.3">
      <c r="E349" s="21" t="s">
        <v>417</v>
      </c>
      <c r="F349" s="21" t="s">
        <v>549</v>
      </c>
      <c r="G349" s="13" t="s">
        <v>593</v>
      </c>
      <c r="I349" t="s">
        <v>12</v>
      </c>
      <c r="J349" t="e">
        <f>+_xlfn.XLOOKUP(E349,#REF!,F:F,"ZERO",0,1)</f>
        <v>#REF!</v>
      </c>
    </row>
    <row r="350" spans="5:10" x14ac:dyDescent="0.3">
      <c r="E350" s="20" t="s">
        <v>439</v>
      </c>
      <c r="F350" s="20" t="s">
        <v>548</v>
      </c>
      <c r="G350" s="13" t="s">
        <v>593</v>
      </c>
      <c r="H350" s="3"/>
      <c r="I350" t="s">
        <v>16</v>
      </c>
      <c r="J350" t="e">
        <f>+_xlfn.XLOOKUP(E350,#REF!,F:F,"ZERO",0,1)</f>
        <v>#REF!</v>
      </c>
    </row>
    <row r="351" spans="5:10" x14ac:dyDescent="0.3">
      <c r="E351" s="20" t="s">
        <v>445</v>
      </c>
      <c r="F351" s="20" t="s">
        <v>446</v>
      </c>
      <c r="G351" t="s">
        <v>594</v>
      </c>
      <c r="H351" s="3"/>
      <c r="I351" t="s">
        <v>12</v>
      </c>
      <c r="J351" t="e">
        <f>+_xlfn.XLOOKUP(E351,#REF!,F:F,"ZERO",0,1)</f>
        <v>#REF!</v>
      </c>
    </row>
    <row r="352" spans="5:10" x14ac:dyDescent="0.3">
      <c r="E352" s="20" t="s">
        <v>442</v>
      </c>
      <c r="F352" s="20" t="s">
        <v>441</v>
      </c>
      <c r="G352" s="13" t="s">
        <v>593</v>
      </c>
      <c r="I352" t="s">
        <v>16</v>
      </c>
      <c r="J352" t="e">
        <f>+_xlfn.XLOOKUP(E352,#REF!,F:F,"ZERO",0,1)</f>
        <v>#REF!</v>
      </c>
    </row>
    <row r="353" spans="5:10" x14ac:dyDescent="0.3">
      <c r="E353" s="20" t="s">
        <v>440</v>
      </c>
      <c r="F353" s="20" t="s">
        <v>547</v>
      </c>
      <c r="G353" t="s">
        <v>594</v>
      </c>
      <c r="I353" t="s">
        <v>12</v>
      </c>
      <c r="J353" t="e">
        <f>+_xlfn.XLOOKUP(E353,#REF!,F:F,"ZERO",0,1)</f>
        <v>#REF!</v>
      </c>
    </row>
    <row r="354" spans="5:10" x14ac:dyDescent="0.3">
      <c r="E354" s="20" t="s">
        <v>435</v>
      </c>
      <c r="F354" s="20" t="s">
        <v>434</v>
      </c>
      <c r="G354" t="s">
        <v>594</v>
      </c>
      <c r="I354" t="s">
        <v>16</v>
      </c>
      <c r="J354" t="e">
        <f>+_xlfn.XLOOKUP(E354,#REF!,F:F,"ZERO",0,1)</f>
        <v>#REF!</v>
      </c>
    </row>
    <row r="355" spans="5:10" x14ac:dyDescent="0.3">
      <c r="E355" s="20" t="s">
        <v>436</v>
      </c>
      <c r="F355" s="20" t="s">
        <v>546</v>
      </c>
      <c r="G355" t="s">
        <v>594</v>
      </c>
      <c r="I355" t="s">
        <v>12</v>
      </c>
      <c r="J355" t="e">
        <f>+_xlfn.XLOOKUP(E355,#REF!,F:F,"ZERO",0,1)</f>
        <v>#REF!</v>
      </c>
    </row>
    <row r="356" spans="5:10" x14ac:dyDescent="0.3">
      <c r="E356" s="20" t="s">
        <v>437</v>
      </c>
      <c r="F356" s="20" t="s">
        <v>545</v>
      </c>
      <c r="G356" s="13" t="s">
        <v>593</v>
      </c>
      <c r="H356" s="3"/>
      <c r="I356" t="s">
        <v>16</v>
      </c>
      <c r="J356" t="e">
        <f>+_xlfn.XLOOKUP(E356,#REF!,F:F,"ZERO",0,1)</f>
        <v>#REF!</v>
      </c>
    </row>
    <row r="357" spans="5:10" x14ac:dyDescent="0.3">
      <c r="E357" s="20" t="s">
        <v>443</v>
      </c>
      <c r="F357" s="20" t="s">
        <v>544</v>
      </c>
      <c r="G357" t="s">
        <v>594</v>
      </c>
      <c r="H357" s="3"/>
      <c r="I357" t="s">
        <v>12</v>
      </c>
      <c r="J357" t="e">
        <f>+_xlfn.XLOOKUP(E357,#REF!,F:F,"ZERO",0,1)</f>
        <v>#REF!</v>
      </c>
    </row>
    <row r="358" spans="5:10" x14ac:dyDescent="0.3">
      <c r="E358" s="20" t="s">
        <v>101</v>
      </c>
      <c r="F358" s="20" t="s">
        <v>543</v>
      </c>
      <c r="G358" t="s">
        <v>594</v>
      </c>
      <c r="I358" t="s">
        <v>16</v>
      </c>
      <c r="J358" t="e">
        <f>+_xlfn.XLOOKUP(E358,#REF!,F:F,"ZERO",0,1)</f>
        <v>#REF!</v>
      </c>
    </row>
    <row r="359" spans="5:10" x14ac:dyDescent="0.3">
      <c r="E359" s="20" t="s">
        <v>432</v>
      </c>
      <c r="F359" s="20" t="s">
        <v>542</v>
      </c>
      <c r="G359" t="s">
        <v>594</v>
      </c>
      <c r="I359" t="s">
        <v>12</v>
      </c>
      <c r="J359" t="e">
        <f>+_xlfn.XLOOKUP(E359,#REF!,F:F,"ZERO",0,1)</f>
        <v>#REF!</v>
      </c>
    </row>
    <row r="360" spans="5:10" x14ac:dyDescent="0.3">
      <c r="E360" s="20" t="s">
        <v>425</v>
      </c>
      <c r="F360" s="20" t="s">
        <v>541</v>
      </c>
      <c r="G360" t="s">
        <v>594</v>
      </c>
      <c r="H360" s="3"/>
      <c r="I360" t="s">
        <v>16</v>
      </c>
      <c r="J360" t="e">
        <f>+_xlfn.XLOOKUP(E360,#REF!,F:F,"ZERO",0,1)</f>
        <v>#REF!</v>
      </c>
    </row>
    <row r="361" spans="5:10" x14ac:dyDescent="0.3">
      <c r="E361" s="16" t="s">
        <v>428</v>
      </c>
      <c r="F361" s="20" t="s">
        <v>540</v>
      </c>
      <c r="G361" t="s">
        <v>594</v>
      </c>
      <c r="H361" s="3"/>
      <c r="I361" t="s">
        <v>12</v>
      </c>
      <c r="J361" t="e">
        <f>+_xlfn.XLOOKUP(E361,#REF!,F:F,"ZERO",0,1)</f>
        <v>#REF!</v>
      </c>
    </row>
    <row r="362" spans="5:10" x14ac:dyDescent="0.3">
      <c r="E362" s="23" t="s">
        <v>431</v>
      </c>
      <c r="F362" s="20" t="s">
        <v>430</v>
      </c>
      <c r="G362" t="s">
        <v>594</v>
      </c>
      <c r="I362" t="s">
        <v>16</v>
      </c>
      <c r="J362" t="e">
        <f>+_xlfn.XLOOKUP(E362,#REF!,F:F,"ZERO",0,1)</f>
        <v>#REF!</v>
      </c>
    </row>
    <row r="363" spans="5:10" x14ac:dyDescent="0.3">
      <c r="E363" s="23" t="s">
        <v>453</v>
      </c>
      <c r="F363" s="20" t="s">
        <v>452</v>
      </c>
      <c r="G363" t="s">
        <v>594</v>
      </c>
      <c r="I363" t="s">
        <v>12</v>
      </c>
      <c r="J363" t="e">
        <f>+_xlfn.XLOOKUP(E363,#REF!,F:F,"ZERO",0,1)</f>
        <v>#REF!</v>
      </c>
    </row>
    <row r="364" spans="5:10" x14ac:dyDescent="0.3">
      <c r="E364" s="23" t="s">
        <v>91</v>
      </c>
      <c r="F364" s="20" t="s">
        <v>539</v>
      </c>
      <c r="G364" s="13" t="s">
        <v>594</v>
      </c>
      <c r="I364" t="s">
        <v>16</v>
      </c>
      <c r="J364" t="e">
        <f>+_xlfn.XLOOKUP(E364,#REF!,F:F,"ZERO",0,1)</f>
        <v>#REF!</v>
      </c>
    </row>
    <row r="365" spans="5:10" x14ac:dyDescent="0.3">
      <c r="E365" s="23" t="s">
        <v>447</v>
      </c>
      <c r="F365" s="20" t="s">
        <v>538</v>
      </c>
      <c r="G365" s="13" t="s">
        <v>599</v>
      </c>
      <c r="I365" t="s">
        <v>12</v>
      </c>
      <c r="J365" t="e">
        <f>+_xlfn.XLOOKUP(E365,#REF!,F:F,"ZERO",0,1)</f>
        <v>#REF!</v>
      </c>
    </row>
    <row r="366" spans="5:10" x14ac:dyDescent="0.3">
      <c r="E366" s="23" t="s">
        <v>448</v>
      </c>
      <c r="F366" s="32" t="s">
        <v>449</v>
      </c>
      <c r="G366" s="13" t="s">
        <v>593</v>
      </c>
      <c r="I366" t="s">
        <v>16</v>
      </c>
      <c r="J366" t="e">
        <f>+_xlfn.XLOOKUP(E366,#REF!,F:F,"ZERO",0,1)</f>
        <v>#REF!</v>
      </c>
    </row>
    <row r="367" spans="5:10" x14ac:dyDescent="0.3">
      <c r="E367" s="23" t="s">
        <v>458</v>
      </c>
      <c r="F367" s="32" t="s">
        <v>537</v>
      </c>
      <c r="G367" t="s">
        <v>594</v>
      </c>
      <c r="I367" t="s">
        <v>12</v>
      </c>
      <c r="J367" t="e">
        <f>+_xlfn.XLOOKUP(E367,#REF!,F:F,"ZERO",0,1)</f>
        <v>#REF!</v>
      </c>
    </row>
    <row r="368" spans="5:10" x14ac:dyDescent="0.3">
      <c r="E368" s="16" t="s">
        <v>456</v>
      </c>
      <c r="F368" s="32" t="s">
        <v>455</v>
      </c>
      <c r="G368" t="s">
        <v>594</v>
      </c>
      <c r="I368" t="s">
        <v>16</v>
      </c>
      <c r="J368" t="e">
        <f>+_xlfn.XLOOKUP(E368,#REF!,F:F,"ZERO",0,1)</f>
        <v>#REF!</v>
      </c>
    </row>
    <row r="369" spans="5:10" x14ac:dyDescent="0.3">
      <c r="E369" s="23" t="s">
        <v>461</v>
      </c>
      <c r="F369" s="32" t="s">
        <v>536</v>
      </c>
      <c r="G369" s="13" t="s">
        <v>593</v>
      </c>
      <c r="I369" t="s">
        <v>12</v>
      </c>
      <c r="J369" t="e">
        <f>+_xlfn.XLOOKUP(E369,#REF!,F:F,"ZERO",0,1)</f>
        <v>#REF!</v>
      </c>
    </row>
    <row r="370" spans="5:10" x14ac:dyDescent="0.3">
      <c r="E370" s="33" t="s">
        <v>460</v>
      </c>
      <c r="F370" s="32" t="s">
        <v>535</v>
      </c>
      <c r="G370" s="13" t="s">
        <v>593</v>
      </c>
      <c r="I370" t="s">
        <v>16</v>
      </c>
      <c r="J370" t="e">
        <f>+_xlfn.XLOOKUP(E370,#REF!,F:F,"ZERO",0,1)</f>
        <v>#REF!</v>
      </c>
    </row>
    <row r="371" spans="5:10" x14ac:dyDescent="0.3">
      <c r="E371" s="33" t="s">
        <v>459</v>
      </c>
      <c r="F371" s="32" t="s">
        <v>534</v>
      </c>
      <c r="G371" t="s">
        <v>594</v>
      </c>
      <c r="I371" t="s">
        <v>12</v>
      </c>
      <c r="J371" t="e">
        <f>+_xlfn.XLOOKUP(E371,#REF!,F:F,"ZERO",0,1)</f>
        <v>#REF!</v>
      </c>
    </row>
    <row r="372" spans="5:10" x14ac:dyDescent="0.3">
      <c r="E372" s="33" t="s">
        <v>469</v>
      </c>
      <c r="F372" s="32" t="s">
        <v>470</v>
      </c>
      <c r="G372" s="13" t="s">
        <v>593</v>
      </c>
      <c r="I372" t="s">
        <v>16</v>
      </c>
      <c r="J372" t="e">
        <f>+_xlfn.XLOOKUP(E372,#REF!,F:F,"ZERO",0,1)</f>
        <v>#REF!</v>
      </c>
    </row>
    <row r="373" spans="5:10" x14ac:dyDescent="0.3">
      <c r="E373" s="33" t="s">
        <v>468</v>
      </c>
      <c r="F373" s="32" t="s">
        <v>467</v>
      </c>
      <c r="G373" t="s">
        <v>594</v>
      </c>
      <c r="I373" t="s">
        <v>12</v>
      </c>
      <c r="J373" t="e">
        <f>+_xlfn.XLOOKUP(E373,#REF!,F:F,"ZERO",0,1)</f>
        <v>#REF!</v>
      </c>
    </row>
    <row r="374" spans="5:10" x14ac:dyDescent="0.3">
      <c r="E374" s="33" t="s">
        <v>464</v>
      </c>
      <c r="F374" s="32" t="s">
        <v>463</v>
      </c>
      <c r="G374" s="13" t="s">
        <v>593</v>
      </c>
      <c r="I374" t="s">
        <v>16</v>
      </c>
      <c r="J374" t="e">
        <f>+_xlfn.XLOOKUP(E374,#REF!,F:F,"ZERO",0,1)</f>
        <v>#REF!</v>
      </c>
    </row>
    <row r="375" spans="5:10" x14ac:dyDescent="0.3">
      <c r="E375" s="33" t="s">
        <v>483</v>
      </c>
      <c r="F375" s="32" t="s">
        <v>533</v>
      </c>
      <c r="G375" s="13" t="s">
        <v>593</v>
      </c>
      <c r="I375" t="s">
        <v>12</v>
      </c>
      <c r="J375" t="e">
        <f>+_xlfn.XLOOKUP(E375,#REF!,F:F,"ZERO",0,1)</f>
        <v>#REF!</v>
      </c>
    </row>
    <row r="376" spans="5:10" x14ac:dyDescent="0.3">
      <c r="E376" s="33" t="s">
        <v>474</v>
      </c>
      <c r="F376" s="32" t="s">
        <v>532</v>
      </c>
      <c r="G376" s="13" t="s">
        <v>593</v>
      </c>
      <c r="H376" s="3"/>
      <c r="I376" t="s">
        <v>16</v>
      </c>
      <c r="J376" t="e">
        <f>+_xlfn.XLOOKUP(E376,#REF!,F:F,"ZERO",0,1)</f>
        <v>#REF!</v>
      </c>
    </row>
    <row r="377" spans="5:10" x14ac:dyDescent="0.3">
      <c r="E377" s="33" t="s">
        <v>481</v>
      </c>
      <c r="F377" s="32" t="s">
        <v>531</v>
      </c>
      <c r="G377" s="13" t="s">
        <v>593</v>
      </c>
      <c r="H377" s="3"/>
      <c r="I377" t="s">
        <v>12</v>
      </c>
      <c r="J377" t="e">
        <f>+_xlfn.XLOOKUP(E377,#REF!,F:F,"ZERO",0,1)</f>
        <v>#REF!</v>
      </c>
    </row>
    <row r="378" spans="5:10" x14ac:dyDescent="0.3">
      <c r="E378" s="33" t="s">
        <v>479</v>
      </c>
      <c r="F378" s="32" t="s">
        <v>530</v>
      </c>
      <c r="G378" t="s">
        <v>594</v>
      </c>
      <c r="H378" s="3"/>
      <c r="I378" t="s">
        <v>16</v>
      </c>
      <c r="J378" t="e">
        <f>+_xlfn.XLOOKUP(E378,#REF!,F:F,"ZERO",0,1)</f>
        <v>#REF!</v>
      </c>
    </row>
    <row r="379" spans="5:10" x14ac:dyDescent="0.3">
      <c r="E379" s="33" t="s">
        <v>475</v>
      </c>
      <c r="F379" s="32" t="s">
        <v>476</v>
      </c>
      <c r="G379" t="s">
        <v>594</v>
      </c>
      <c r="H379" s="3"/>
      <c r="I379" t="s">
        <v>12</v>
      </c>
      <c r="J379" t="e">
        <f>+_xlfn.XLOOKUP(E379,#REF!,F:F,"ZERO",0,1)</f>
        <v>#REF!</v>
      </c>
    </row>
    <row r="380" spans="5:10" x14ac:dyDescent="0.3">
      <c r="E380" s="33" t="s">
        <v>465</v>
      </c>
      <c r="F380" s="32" t="s">
        <v>529</v>
      </c>
      <c r="G380" s="13" t="s">
        <v>593</v>
      </c>
      <c r="I380" t="s">
        <v>16</v>
      </c>
      <c r="J380" t="e">
        <f>+_xlfn.XLOOKUP(E380,#REF!,F:F,"ZERO",0,1)</f>
        <v>#REF!</v>
      </c>
    </row>
    <row r="381" spans="5:10" x14ac:dyDescent="0.3">
      <c r="E381" s="33" t="s">
        <v>491</v>
      </c>
      <c r="F381" s="32" t="s">
        <v>490</v>
      </c>
      <c r="G381" s="13" t="s">
        <v>593</v>
      </c>
      <c r="I381" t="s">
        <v>12</v>
      </c>
      <c r="J381" t="e">
        <f>+_xlfn.XLOOKUP(E381,#REF!,F:F,"ZERO",0,1)</f>
        <v>#REF!</v>
      </c>
    </row>
    <row r="382" spans="5:10" x14ac:dyDescent="0.3">
      <c r="E382" s="33" t="s">
        <v>488</v>
      </c>
      <c r="F382" s="32" t="s">
        <v>487</v>
      </c>
      <c r="G382" s="13" t="s">
        <v>593</v>
      </c>
      <c r="H382" s="3"/>
      <c r="I382" t="s">
        <v>16</v>
      </c>
      <c r="J382" t="e">
        <f>+_xlfn.XLOOKUP(E382,#REF!,F:F,"ZERO",0,1)</f>
        <v>#REF!</v>
      </c>
    </row>
    <row r="383" spans="5:10" x14ac:dyDescent="0.3">
      <c r="E383" s="33" t="s">
        <v>484</v>
      </c>
      <c r="F383" s="32" t="s">
        <v>528</v>
      </c>
      <c r="G383" s="13" t="s">
        <v>593</v>
      </c>
      <c r="H383" s="3"/>
      <c r="I383" t="s">
        <v>12</v>
      </c>
      <c r="J383" t="e">
        <f>+_xlfn.XLOOKUP(E383,#REF!,F:F,"ZERO",0,1)</f>
        <v>#REF!</v>
      </c>
    </row>
    <row r="384" spans="5:10" x14ac:dyDescent="0.3">
      <c r="E384" s="33" t="s">
        <v>472</v>
      </c>
      <c r="F384" s="32" t="s">
        <v>527</v>
      </c>
      <c r="G384" s="13" t="s">
        <v>593</v>
      </c>
      <c r="I384" t="s">
        <v>16</v>
      </c>
      <c r="J384" t="e">
        <f>+_xlfn.XLOOKUP(E384,#REF!,F:F,"ZERO",0,1)</f>
        <v>#REF!</v>
      </c>
    </row>
    <row r="385" spans="5:10" x14ac:dyDescent="0.3">
      <c r="E385" s="33" t="s">
        <v>501</v>
      </c>
      <c r="F385" s="32" t="s">
        <v>502</v>
      </c>
      <c r="G385" t="s">
        <v>594</v>
      </c>
      <c r="I385" t="s">
        <v>12</v>
      </c>
      <c r="J385" t="e">
        <f>+_xlfn.XLOOKUP(E385,#REF!,F:F,"ZERO",0,1)</f>
        <v>#REF!</v>
      </c>
    </row>
    <row r="386" spans="5:10" x14ac:dyDescent="0.3">
      <c r="E386" s="33" t="s">
        <v>500</v>
      </c>
      <c r="F386" s="32" t="s">
        <v>499</v>
      </c>
      <c r="G386" t="s">
        <v>594</v>
      </c>
      <c r="H386" s="3"/>
      <c r="I386" t="s">
        <v>16</v>
      </c>
      <c r="J386" t="e">
        <f>+_xlfn.XLOOKUP(E386,#REF!,F:F,"ZERO",0,1)</f>
        <v>#REF!</v>
      </c>
    </row>
    <row r="387" spans="5:10" x14ac:dyDescent="0.3">
      <c r="E387" s="32" t="s">
        <v>497</v>
      </c>
      <c r="F387" s="20" t="s">
        <v>496</v>
      </c>
      <c r="G387" s="12" t="s">
        <v>594</v>
      </c>
      <c r="H387" s="3"/>
      <c r="I387" t="s">
        <v>12</v>
      </c>
      <c r="J387" t="e">
        <f>+_xlfn.XLOOKUP(E387,#REF!,F:F,"ZERO",0,1)</f>
        <v>#REF!</v>
      </c>
    </row>
    <row r="388" spans="5:10" x14ac:dyDescent="0.3">
      <c r="E388" s="20" t="s">
        <v>595</v>
      </c>
      <c r="F388" s="22" t="s">
        <v>526</v>
      </c>
      <c r="G388" t="s">
        <v>599</v>
      </c>
      <c r="H388" s="3"/>
      <c r="I388" t="s">
        <v>12</v>
      </c>
      <c r="J388" t="e">
        <f>+_xlfn.XLOOKUP(E388,#REF!,F:F,"ZERO",0,1)</f>
        <v>#REF!</v>
      </c>
    </row>
    <row r="389" spans="5:10" x14ac:dyDescent="0.3">
      <c r="E389" s="32" t="s">
        <v>525</v>
      </c>
      <c r="F389" s="32" t="s">
        <v>526</v>
      </c>
      <c r="G389" t="s">
        <v>599</v>
      </c>
      <c r="H389" s="3"/>
      <c r="I389" t="s">
        <v>16</v>
      </c>
      <c r="J389" t="e">
        <f>+_xlfn.XLOOKUP(E389,#REF!,F:F,"ZERO",0,1)</f>
        <v>#REF!</v>
      </c>
    </row>
    <row r="390" spans="5:10" x14ac:dyDescent="0.3">
      <c r="E390" s="32" t="s">
        <v>492</v>
      </c>
      <c r="F390" s="32" t="s">
        <v>493</v>
      </c>
      <c r="G390" s="12" t="s">
        <v>593</v>
      </c>
      <c r="H390" s="3"/>
      <c r="I390" t="s">
        <v>12</v>
      </c>
      <c r="J390" t="e">
        <f>+_xlfn.XLOOKUP(E390,#REF!,F:F,"ZERO",0,1)</f>
        <v>#REF!</v>
      </c>
    </row>
    <row r="391" spans="5:10" x14ac:dyDescent="0.3">
      <c r="E391" s="32" t="s">
        <v>504</v>
      </c>
      <c r="F391" s="26" t="s">
        <v>505</v>
      </c>
      <c r="G391" t="s">
        <v>594</v>
      </c>
      <c r="H391" s="3"/>
      <c r="I391" t="s">
        <v>16</v>
      </c>
      <c r="J391" t="e">
        <f>+_xlfn.XLOOKUP(E391,#REF!,F:F,"ZERO",0,1)</f>
        <v>#REF!</v>
      </c>
    </row>
    <row r="392" spans="5:10" x14ac:dyDescent="0.3">
      <c r="E392" s="12" t="s">
        <v>513</v>
      </c>
      <c r="F392" s="26" t="s">
        <v>514</v>
      </c>
      <c r="G392" t="s">
        <v>594</v>
      </c>
      <c r="H392" s="3"/>
      <c r="I392" t="s">
        <v>12</v>
      </c>
      <c r="J392" t="e">
        <f>+_xlfn.XLOOKUP(E392,#REF!,F:F,"ZERO",0,1)</f>
        <v>#REF!</v>
      </c>
    </row>
    <row r="393" spans="5:10" x14ac:dyDescent="0.3">
      <c r="E393" s="12" t="s">
        <v>512</v>
      </c>
      <c r="F393" s="26" t="s">
        <v>511</v>
      </c>
      <c r="G393" t="s">
        <v>594</v>
      </c>
      <c r="H393" s="3"/>
      <c r="I393" t="s">
        <v>16</v>
      </c>
      <c r="J393" t="e">
        <f>+_xlfn.XLOOKUP(E393,#REF!,F:F,"ZERO",0,1)</f>
        <v>#REF!</v>
      </c>
    </row>
    <row r="394" spans="5:10" x14ac:dyDescent="0.3">
      <c r="E394" s="12" t="s">
        <v>509</v>
      </c>
      <c r="F394" s="26" t="s">
        <v>510</v>
      </c>
      <c r="G394" t="s">
        <v>594</v>
      </c>
      <c r="H394" s="3"/>
      <c r="I394" t="s">
        <v>12</v>
      </c>
      <c r="J394" t="e">
        <f>+_xlfn.XLOOKUP(E394,#REF!,F:F,"ZERO",0,1)</f>
        <v>#REF!</v>
      </c>
    </row>
    <row r="395" spans="5:10" x14ac:dyDescent="0.3">
      <c r="E395" s="12" t="s">
        <v>507</v>
      </c>
      <c r="F395" s="26" t="s">
        <v>508</v>
      </c>
      <c r="G395" s="13" t="s">
        <v>631</v>
      </c>
      <c r="H395" s="3"/>
      <c r="I395" t="s">
        <v>16</v>
      </c>
      <c r="J395" t="e">
        <f>+_xlfn.XLOOKUP(E395,#REF!,F:F,"ZERO",0,1)</f>
        <v>#REF!</v>
      </c>
    </row>
    <row r="396" spans="5:10" x14ac:dyDescent="0.3">
      <c r="E396" s="12" t="s">
        <v>516</v>
      </c>
      <c r="F396" s="26" t="s">
        <v>524</v>
      </c>
      <c r="G396" s="12" t="s">
        <v>593</v>
      </c>
      <c r="I396" t="s">
        <v>12</v>
      </c>
      <c r="J396" t="e">
        <f>+_xlfn.XLOOKUP(E396,#REF!,F:F,"ZERO",0,1)</f>
        <v>#REF!</v>
      </c>
    </row>
    <row r="397" spans="5:10" x14ac:dyDescent="0.3">
      <c r="E397" s="12" t="s">
        <v>522</v>
      </c>
      <c r="F397" s="26" t="s">
        <v>523</v>
      </c>
      <c r="G397" s="12" t="s">
        <v>593</v>
      </c>
      <c r="I397" t="s">
        <v>16</v>
      </c>
      <c r="J397" t="e">
        <f>+_xlfn.XLOOKUP(E397,#REF!,F:F,"ZERO",0,1)</f>
        <v>#REF!</v>
      </c>
    </row>
    <row r="398" spans="5:10" x14ac:dyDescent="0.3">
      <c r="E398" s="12" t="s">
        <v>598</v>
      </c>
      <c r="F398" s="26" t="s">
        <v>597</v>
      </c>
      <c r="G398" s="12" t="s">
        <v>599</v>
      </c>
      <c r="H398" s="3"/>
      <c r="I398" t="s">
        <v>16</v>
      </c>
      <c r="J398" t="e">
        <f>+_xlfn.XLOOKUP(E398,#REF!,F:F,"ZERO",0,1)</f>
        <v>#REF!</v>
      </c>
    </row>
    <row r="399" spans="5:10" x14ac:dyDescent="0.3">
      <c r="E399" s="12" t="s">
        <v>608</v>
      </c>
      <c r="F399" s="26" t="s">
        <v>609</v>
      </c>
      <c r="G399" t="s">
        <v>599</v>
      </c>
      <c r="H399" s="3"/>
      <c r="I399" t="s">
        <v>16</v>
      </c>
      <c r="J399" t="e">
        <f>+_xlfn.XLOOKUP(E399,#REF!,F:F,"ZERO",0,1)</f>
        <v>#REF!</v>
      </c>
    </row>
    <row r="400" spans="5:10" x14ac:dyDescent="0.3">
      <c r="E400" s="12" t="s">
        <v>610</v>
      </c>
      <c r="F400" s="26" t="s">
        <v>611</v>
      </c>
      <c r="G400" t="s">
        <v>594</v>
      </c>
      <c r="H400" s="3"/>
      <c r="I400" t="s">
        <v>16</v>
      </c>
      <c r="J400" t="e">
        <f>+_xlfn.XLOOKUP(E400,#REF!,F:F,"ZERO",0,1)</f>
        <v>#REF!</v>
      </c>
    </row>
    <row r="401" spans="5:10" x14ac:dyDescent="0.3">
      <c r="E401" s="12" t="s">
        <v>614</v>
      </c>
      <c r="F401" s="26" t="s">
        <v>612</v>
      </c>
      <c r="G401" s="12" t="s">
        <v>631</v>
      </c>
      <c r="H401" s="3"/>
      <c r="I401" t="s">
        <v>16</v>
      </c>
      <c r="J401" t="e">
        <f>+_xlfn.XLOOKUP(E401,#REF!,F:F,"ZERO",0,1)</f>
        <v>#REF!</v>
      </c>
    </row>
    <row r="402" spans="5:10" x14ac:dyDescent="0.3">
      <c r="E402" s="12" t="s">
        <v>616</v>
      </c>
      <c r="F402" s="26" t="s">
        <v>617</v>
      </c>
      <c r="G402" s="12" t="s">
        <v>593</v>
      </c>
      <c r="H402" s="3"/>
      <c r="I402" t="s">
        <v>16</v>
      </c>
      <c r="J402" t="e">
        <f>+_xlfn.XLOOKUP(E402,#REF!,F:F,"ZERO",0,1)</f>
        <v>#REF!</v>
      </c>
    </row>
    <row r="403" spans="5:10" x14ac:dyDescent="0.3">
      <c r="E403" s="12" t="s">
        <v>618</v>
      </c>
      <c r="F403" s="26" t="s">
        <v>619</v>
      </c>
      <c r="G403" s="12" t="s">
        <v>593</v>
      </c>
      <c r="I403" t="s">
        <v>16</v>
      </c>
      <c r="J403" t="e">
        <f>+_xlfn.XLOOKUP(E403,#REF!,F:F,"ZERO",0,1)</f>
        <v>#REF!</v>
      </c>
    </row>
    <row r="404" spans="5:10" x14ac:dyDescent="0.3">
      <c r="E404" s="12" t="s">
        <v>621</v>
      </c>
      <c r="F404" s="26" t="s">
        <v>622</v>
      </c>
      <c r="G404" s="12" t="s">
        <v>593</v>
      </c>
      <c r="I404" t="s">
        <v>16</v>
      </c>
      <c r="J404" t="e">
        <f>+_xlfn.XLOOKUP(E404,#REF!,F:F,"ZERO",0,1)</f>
        <v>#REF!</v>
      </c>
    </row>
    <row r="405" spans="5:10" x14ac:dyDescent="0.3">
      <c r="E405" s="12" t="s">
        <v>625</v>
      </c>
      <c r="F405" s="26" t="s">
        <v>623</v>
      </c>
      <c r="G405" s="12" t="s">
        <v>593</v>
      </c>
      <c r="I405" t="s">
        <v>16</v>
      </c>
      <c r="J405" t="e">
        <f>+_xlfn.XLOOKUP(E405,#REF!,F:F,"ZERO",0,1)</f>
        <v>#REF!</v>
      </c>
    </row>
    <row r="406" spans="5:10" x14ac:dyDescent="0.3">
      <c r="E406" s="12" t="s">
        <v>627</v>
      </c>
      <c r="F406" s="26" t="s">
        <v>628</v>
      </c>
      <c r="G406" s="12" t="s">
        <v>593</v>
      </c>
      <c r="I406" t="s">
        <v>16</v>
      </c>
      <c r="J406" t="e">
        <f>+_xlfn.XLOOKUP(E406,#REF!,F:F,"ZERO",0,1)</f>
        <v>#REF!</v>
      </c>
    </row>
    <row r="407" spans="5:10" x14ac:dyDescent="0.3">
      <c r="E407" s="12" t="s">
        <v>634</v>
      </c>
      <c r="F407" s="26" t="s">
        <v>632</v>
      </c>
      <c r="G407" s="34" t="s">
        <v>593</v>
      </c>
      <c r="I407" t="s">
        <v>16</v>
      </c>
      <c r="J407" t="e">
        <f>+_xlfn.XLOOKUP(E407,#REF!,F:F,"ZERO",0,1)</f>
        <v>#REF!</v>
      </c>
    </row>
    <row r="408" spans="5:10" x14ac:dyDescent="0.3">
      <c r="E408" s="12" t="s">
        <v>637</v>
      </c>
      <c r="F408" s="26" t="s">
        <v>635</v>
      </c>
      <c r="G408" s="34" t="s">
        <v>631</v>
      </c>
      <c r="I408" t="s">
        <v>16</v>
      </c>
      <c r="J408" t="e">
        <f>+_xlfn.XLOOKUP(E408,#REF!,F:F,"ZERO",0,1)</f>
        <v>#REF!</v>
      </c>
    </row>
    <row r="409" spans="5:10" x14ac:dyDescent="0.3">
      <c r="E409" s="12" t="s">
        <v>640</v>
      </c>
      <c r="F409" s="26" t="s">
        <v>638</v>
      </c>
      <c r="G409" s="34" t="s">
        <v>631</v>
      </c>
      <c r="I409" t="s">
        <v>16</v>
      </c>
      <c r="J409" t="e">
        <f>+_xlfn.XLOOKUP(E409,#REF!,F:F,"ZERO",0,1)</f>
        <v>#REF!</v>
      </c>
    </row>
    <row r="410" spans="5:10" x14ac:dyDescent="0.3">
      <c r="E410" s="12" t="s">
        <v>643</v>
      </c>
      <c r="F410" s="26" t="s">
        <v>641</v>
      </c>
      <c r="G410" s="34" t="s">
        <v>631</v>
      </c>
      <c r="I410" t="s">
        <v>16</v>
      </c>
      <c r="J410" t="e">
        <f>+_xlfn.XLOOKUP(E410,#REF!,F:F,"ZERO",0,1)</f>
        <v>#REF!</v>
      </c>
    </row>
    <row r="411" spans="5:10" x14ac:dyDescent="0.3">
      <c r="E411" s="12" t="s">
        <v>646</v>
      </c>
      <c r="F411" s="26" t="s">
        <v>644</v>
      </c>
      <c r="G411" t="s">
        <v>594</v>
      </c>
      <c r="I411" t="s">
        <v>16</v>
      </c>
      <c r="J411" t="e">
        <f>+_xlfn.XLOOKUP(E411,#REF!,F:F,"ZERO",0,1)</f>
        <v>#REF!</v>
      </c>
    </row>
    <row r="412" spans="5:10" x14ac:dyDescent="0.3">
      <c r="E412" s="12" t="s">
        <v>649</v>
      </c>
      <c r="F412" s="26" t="s">
        <v>647</v>
      </c>
      <c r="G412" s="34" t="s">
        <v>631</v>
      </c>
      <c r="I412" t="s">
        <v>16</v>
      </c>
      <c r="J412" t="e">
        <f>+_xlfn.XLOOKUP(E412,#REF!,F:F,"ZERO",0,1)</f>
        <v>#REF!</v>
      </c>
    </row>
    <row r="413" spans="5:10" x14ac:dyDescent="0.3">
      <c r="E413" s="12" t="s">
        <v>652</v>
      </c>
      <c r="F413" s="26" t="s">
        <v>743</v>
      </c>
      <c r="G413" s="34" t="s">
        <v>631</v>
      </c>
      <c r="I413" t="s">
        <v>16</v>
      </c>
      <c r="J413" t="e">
        <f>+_xlfn.XLOOKUP(E413,#REF!,F:F,"ZERO",0,1)</f>
        <v>#REF!</v>
      </c>
    </row>
    <row r="414" spans="5:10" x14ac:dyDescent="0.3">
      <c r="E414" s="35" t="s">
        <v>685</v>
      </c>
      <c r="F414" s="35" t="s">
        <v>686</v>
      </c>
      <c r="G414" s="13" t="s">
        <v>594</v>
      </c>
    </row>
    <row r="415" spans="5:10" x14ac:dyDescent="0.3">
      <c r="E415" s="35" t="s">
        <v>655</v>
      </c>
      <c r="F415" s="26" t="s">
        <v>656</v>
      </c>
      <c r="G415" s="12" t="s">
        <v>594</v>
      </c>
    </row>
    <row r="416" spans="5:10" x14ac:dyDescent="0.3">
      <c r="E416" s="35" t="s">
        <v>659</v>
      </c>
      <c r="F416" s="26" t="s">
        <v>657</v>
      </c>
      <c r="G416" s="13" t="s">
        <v>594</v>
      </c>
    </row>
    <row r="417" spans="5:7" x14ac:dyDescent="0.3">
      <c r="E417" s="35" t="s">
        <v>661</v>
      </c>
      <c r="F417" s="26" t="s">
        <v>662</v>
      </c>
      <c r="G417" s="13" t="s">
        <v>593</v>
      </c>
    </row>
    <row r="418" spans="5:7" x14ac:dyDescent="0.3">
      <c r="E418" s="35" t="s">
        <v>665</v>
      </c>
      <c r="F418" s="26" t="s">
        <v>663</v>
      </c>
      <c r="G418" s="13" t="s">
        <v>593</v>
      </c>
    </row>
    <row r="419" spans="5:7" x14ac:dyDescent="0.3">
      <c r="E419" s="35" t="s">
        <v>668</v>
      </c>
      <c r="F419" s="26" t="s">
        <v>666</v>
      </c>
      <c r="G419" s="13" t="s">
        <v>593</v>
      </c>
    </row>
    <row r="420" spans="5:7" x14ac:dyDescent="0.3">
      <c r="E420" s="35" t="s">
        <v>671</v>
      </c>
      <c r="F420" s="26" t="s">
        <v>669</v>
      </c>
      <c r="G420" t="s">
        <v>594</v>
      </c>
    </row>
    <row r="421" spans="5:7" x14ac:dyDescent="0.3">
      <c r="E421" s="35" t="s">
        <v>674</v>
      </c>
      <c r="F421" s="12" t="s">
        <v>672</v>
      </c>
      <c r="G421" s="13" t="s">
        <v>631</v>
      </c>
    </row>
    <row r="422" spans="5:7" x14ac:dyDescent="0.3">
      <c r="E422" s="35" t="s">
        <v>677</v>
      </c>
      <c r="F422" s="35" t="s">
        <v>675</v>
      </c>
      <c r="G422" s="13" t="s">
        <v>593</v>
      </c>
    </row>
    <row r="423" spans="5:7" x14ac:dyDescent="0.3">
      <c r="E423" s="35" t="s">
        <v>680</v>
      </c>
      <c r="F423" s="35" t="s">
        <v>678</v>
      </c>
      <c r="G423" s="13" t="s">
        <v>593</v>
      </c>
    </row>
    <row r="424" spans="5:7" x14ac:dyDescent="0.3">
      <c r="E424" s="35" t="s">
        <v>683</v>
      </c>
      <c r="F424" s="35" t="s">
        <v>681</v>
      </c>
      <c r="G424" s="13" t="s">
        <v>593</v>
      </c>
    </row>
    <row r="425" spans="5:7" x14ac:dyDescent="0.3">
      <c r="E425" s="36" t="s">
        <v>688</v>
      </c>
      <c r="F425" s="36" t="s">
        <v>690</v>
      </c>
      <c r="G425" s="13" t="s">
        <v>593</v>
      </c>
    </row>
    <row r="426" spans="5:7" x14ac:dyDescent="0.3">
      <c r="E426" s="35" t="s">
        <v>689</v>
      </c>
      <c r="F426" s="36" t="s">
        <v>690</v>
      </c>
      <c r="G426" s="13" t="s">
        <v>593</v>
      </c>
    </row>
    <row r="427" spans="5:7" x14ac:dyDescent="0.3">
      <c r="E427" s="35" t="s">
        <v>692</v>
      </c>
      <c r="F427" s="36" t="s">
        <v>691</v>
      </c>
      <c r="G427" s="13" t="s">
        <v>593</v>
      </c>
    </row>
    <row r="428" spans="5:7" x14ac:dyDescent="0.3">
      <c r="E428" s="35" t="s">
        <v>693</v>
      </c>
      <c r="F428" s="36" t="s">
        <v>691</v>
      </c>
      <c r="G428" s="13" t="s">
        <v>593</v>
      </c>
    </row>
    <row r="429" spans="5:7" x14ac:dyDescent="0.3">
      <c r="E429" s="35" t="s">
        <v>695</v>
      </c>
      <c r="F429" s="36" t="s">
        <v>694</v>
      </c>
      <c r="G429" s="13" t="s">
        <v>593</v>
      </c>
    </row>
    <row r="430" spans="5:7" x14ac:dyDescent="0.3">
      <c r="E430" s="35" t="s">
        <v>696</v>
      </c>
      <c r="F430" s="36" t="s">
        <v>694</v>
      </c>
      <c r="G430" s="13" t="s">
        <v>593</v>
      </c>
    </row>
    <row r="431" spans="5:7" x14ac:dyDescent="0.3">
      <c r="E431" s="35" t="s">
        <v>698</v>
      </c>
      <c r="F431" s="36" t="s">
        <v>697</v>
      </c>
      <c r="G431" t="s">
        <v>594</v>
      </c>
    </row>
    <row r="432" spans="5:7" x14ac:dyDescent="0.3">
      <c r="E432" s="35" t="s">
        <v>699</v>
      </c>
      <c r="F432" s="36" t="s">
        <v>697</v>
      </c>
      <c r="G432" t="s">
        <v>594</v>
      </c>
    </row>
    <row r="433" spans="5:7" x14ac:dyDescent="0.3">
      <c r="E433" s="35" t="s">
        <v>702</v>
      </c>
      <c r="F433" s="36" t="s">
        <v>701</v>
      </c>
      <c r="G433" s="37" t="s">
        <v>593</v>
      </c>
    </row>
    <row r="434" spans="5:7" x14ac:dyDescent="0.3">
      <c r="E434" s="35" t="s">
        <v>703</v>
      </c>
      <c r="F434" s="36" t="s">
        <v>701</v>
      </c>
      <c r="G434" s="37" t="s">
        <v>593</v>
      </c>
    </row>
    <row r="435" spans="5:7" x14ac:dyDescent="0.3">
      <c r="E435" s="35" t="s">
        <v>705</v>
      </c>
      <c r="F435" s="36" t="s">
        <v>704</v>
      </c>
      <c r="G435" t="s">
        <v>594</v>
      </c>
    </row>
    <row r="436" spans="5:7" x14ac:dyDescent="0.3">
      <c r="E436" s="35" t="s">
        <v>706</v>
      </c>
      <c r="F436" s="36" t="s">
        <v>704</v>
      </c>
      <c r="G436" t="s">
        <v>594</v>
      </c>
    </row>
    <row r="437" spans="5:7" x14ac:dyDescent="0.3">
      <c r="E437" s="35" t="s">
        <v>708</v>
      </c>
      <c r="F437" s="36" t="s">
        <v>707</v>
      </c>
      <c r="G437" s="37" t="s">
        <v>593</v>
      </c>
    </row>
    <row r="438" spans="5:7" x14ac:dyDescent="0.3">
      <c r="E438" s="35" t="s">
        <v>709</v>
      </c>
      <c r="F438" s="36" t="s">
        <v>707</v>
      </c>
      <c r="G438" s="37" t="s">
        <v>593</v>
      </c>
    </row>
    <row r="439" spans="5:7" x14ac:dyDescent="0.3">
      <c r="E439" s="35" t="s">
        <v>756</v>
      </c>
      <c r="F439" s="36" t="s">
        <v>757</v>
      </c>
      <c r="G439" s="37" t="s">
        <v>593</v>
      </c>
    </row>
    <row r="440" spans="5:7" x14ac:dyDescent="0.3">
      <c r="E440" s="35" t="s">
        <v>758</v>
      </c>
      <c r="F440" s="36" t="s">
        <v>757</v>
      </c>
      <c r="G440" s="37" t="s">
        <v>593</v>
      </c>
    </row>
    <row r="441" spans="5:7" x14ac:dyDescent="0.3">
      <c r="E441" s="36" t="s">
        <v>710</v>
      </c>
      <c r="F441" s="36" t="s">
        <v>711</v>
      </c>
      <c r="G441" s="13" t="s">
        <v>593</v>
      </c>
    </row>
    <row r="442" spans="5:7" x14ac:dyDescent="0.3">
      <c r="E442" s="36" t="s">
        <v>712</v>
      </c>
      <c r="F442" s="36" t="s">
        <v>711</v>
      </c>
      <c r="G442" s="13" t="s">
        <v>593</v>
      </c>
    </row>
    <row r="443" spans="5:7" x14ac:dyDescent="0.3">
      <c r="E443" s="36" t="s">
        <v>713</v>
      </c>
      <c r="F443" s="36" t="s">
        <v>714</v>
      </c>
      <c r="G443" s="28" t="s">
        <v>593</v>
      </c>
    </row>
    <row r="444" spans="5:7" x14ac:dyDescent="0.3">
      <c r="E444" s="36" t="s">
        <v>718</v>
      </c>
      <c r="F444" s="36" t="s">
        <v>714</v>
      </c>
      <c r="G444" s="28" t="s">
        <v>593</v>
      </c>
    </row>
    <row r="445" spans="5:7" x14ac:dyDescent="0.3">
      <c r="E445" s="36" t="s">
        <v>716</v>
      </c>
      <c r="F445" s="36" t="s">
        <v>715</v>
      </c>
      <c r="G445" s="12" t="s">
        <v>593</v>
      </c>
    </row>
    <row r="446" spans="5:7" x14ac:dyDescent="0.3">
      <c r="E446" s="36" t="s">
        <v>717</v>
      </c>
      <c r="F446" s="36" t="s">
        <v>715</v>
      </c>
      <c r="G446" s="12" t="s">
        <v>593</v>
      </c>
    </row>
    <row r="447" spans="5:7" x14ac:dyDescent="0.3">
      <c r="E447" s="38" t="s">
        <v>719</v>
      </c>
      <c r="F447" s="39" t="s">
        <v>721</v>
      </c>
      <c r="G447" s="38" t="s">
        <v>593</v>
      </c>
    </row>
    <row r="448" spans="5:7" x14ac:dyDescent="0.3">
      <c r="E448" s="38" t="s">
        <v>720</v>
      </c>
      <c r="F448" s="39" t="s">
        <v>721</v>
      </c>
      <c r="G448" s="38" t="s">
        <v>593</v>
      </c>
    </row>
    <row r="449" spans="5:7" x14ac:dyDescent="0.3">
      <c r="E449" s="40" t="s">
        <v>722</v>
      </c>
      <c r="F449" s="39" t="s">
        <v>724</v>
      </c>
      <c r="G449" s="38" t="s">
        <v>593</v>
      </c>
    </row>
    <row r="450" spans="5:7" x14ac:dyDescent="0.3">
      <c r="E450" s="40" t="s">
        <v>723</v>
      </c>
      <c r="F450" s="39" t="s">
        <v>724</v>
      </c>
      <c r="G450" s="38" t="s">
        <v>593</v>
      </c>
    </row>
    <row r="451" spans="5:7" x14ac:dyDescent="0.3">
      <c r="E451" s="40" t="s">
        <v>726</v>
      </c>
      <c r="F451" s="39" t="s">
        <v>725</v>
      </c>
      <c r="G451" s="38" t="s">
        <v>599</v>
      </c>
    </row>
    <row r="452" spans="5:7" x14ac:dyDescent="0.3">
      <c r="E452" s="40" t="s">
        <v>727</v>
      </c>
      <c r="F452" s="39" t="s">
        <v>725</v>
      </c>
      <c r="G452" s="38" t="s">
        <v>599</v>
      </c>
    </row>
    <row r="453" spans="5:7" x14ac:dyDescent="0.3">
      <c r="E453" s="40" t="s">
        <v>729</v>
      </c>
      <c r="F453" s="39" t="s">
        <v>728</v>
      </c>
      <c r="G453" s="38" t="s">
        <v>593</v>
      </c>
    </row>
    <row r="454" spans="5:7" x14ac:dyDescent="0.3">
      <c r="E454" s="40" t="s">
        <v>730</v>
      </c>
      <c r="F454" s="39" t="s">
        <v>728</v>
      </c>
      <c r="G454" s="38" t="s">
        <v>593</v>
      </c>
    </row>
    <row r="455" spans="5:7" x14ac:dyDescent="0.3">
      <c r="E455" s="40" t="s">
        <v>732</v>
      </c>
      <c r="F455" s="39" t="s">
        <v>731</v>
      </c>
      <c r="G455" s="38" t="s">
        <v>593</v>
      </c>
    </row>
    <row r="456" spans="5:7" x14ac:dyDescent="0.3">
      <c r="E456" s="40" t="s">
        <v>733</v>
      </c>
      <c r="F456" s="39" t="s">
        <v>731</v>
      </c>
      <c r="G456" s="38" t="s">
        <v>593</v>
      </c>
    </row>
    <row r="457" spans="5:7" x14ac:dyDescent="0.3">
      <c r="E457" s="40" t="s">
        <v>735</v>
      </c>
      <c r="F457" s="39" t="s">
        <v>734</v>
      </c>
      <c r="G457" s="38" t="s">
        <v>631</v>
      </c>
    </row>
    <row r="458" spans="5:7" x14ac:dyDescent="0.3">
      <c r="E458" s="40" t="s">
        <v>736</v>
      </c>
      <c r="F458" s="39" t="s">
        <v>734</v>
      </c>
      <c r="G458" s="38" t="s">
        <v>631</v>
      </c>
    </row>
    <row r="459" spans="5:7" x14ac:dyDescent="0.3">
      <c r="E459" s="40" t="s">
        <v>741</v>
      </c>
      <c r="F459" s="39" t="s">
        <v>740</v>
      </c>
      <c r="G459" s="38" t="s">
        <v>594</v>
      </c>
    </row>
    <row r="460" spans="5:7" x14ac:dyDescent="0.3">
      <c r="E460" s="40" t="s">
        <v>742</v>
      </c>
      <c r="F460" s="39" t="s">
        <v>740</v>
      </c>
      <c r="G460" s="38" t="s">
        <v>594</v>
      </c>
    </row>
    <row r="461" spans="5:7" x14ac:dyDescent="0.3">
      <c r="E461" s="40" t="s">
        <v>745</v>
      </c>
      <c r="F461" s="39" t="s">
        <v>744</v>
      </c>
      <c r="G461" s="38" t="s">
        <v>631</v>
      </c>
    </row>
    <row r="462" spans="5:7" x14ac:dyDescent="0.3">
      <c r="E462" s="40" t="s">
        <v>746</v>
      </c>
      <c r="F462" s="39" t="s">
        <v>744</v>
      </c>
      <c r="G462" s="38" t="s">
        <v>631</v>
      </c>
    </row>
    <row r="463" spans="5:7" x14ac:dyDescent="0.3">
      <c r="E463" s="40" t="s">
        <v>748</v>
      </c>
      <c r="F463" s="39" t="s">
        <v>747</v>
      </c>
      <c r="G463" s="38" t="s">
        <v>599</v>
      </c>
    </row>
    <row r="464" spans="5:7" x14ac:dyDescent="0.3">
      <c r="E464" s="40" t="s">
        <v>749</v>
      </c>
      <c r="F464" s="39" t="s">
        <v>747</v>
      </c>
      <c r="G464" s="38" t="s">
        <v>599</v>
      </c>
    </row>
    <row r="465" spans="5:7" x14ac:dyDescent="0.3">
      <c r="E465" s="40" t="s">
        <v>751</v>
      </c>
      <c r="F465" s="39" t="s">
        <v>750</v>
      </c>
      <c r="G465" s="38" t="s">
        <v>631</v>
      </c>
    </row>
    <row r="466" spans="5:7" x14ac:dyDescent="0.3">
      <c r="E466" s="40" t="s">
        <v>752</v>
      </c>
      <c r="F466" s="39" t="s">
        <v>750</v>
      </c>
      <c r="G466" s="38" t="s">
        <v>631</v>
      </c>
    </row>
    <row r="467" spans="5:7" x14ac:dyDescent="0.3">
      <c r="E467" s="40" t="s">
        <v>753</v>
      </c>
      <c r="F467" s="39" t="s">
        <v>755</v>
      </c>
      <c r="G467" s="38" t="s">
        <v>594</v>
      </c>
    </row>
    <row r="468" spans="5:7" x14ac:dyDescent="0.3">
      <c r="E468" s="40" t="s">
        <v>754</v>
      </c>
      <c r="F468" s="39" t="s">
        <v>755</v>
      </c>
      <c r="G468" s="38" t="s">
        <v>594</v>
      </c>
    </row>
    <row r="469" spans="5:7" x14ac:dyDescent="0.3">
      <c r="E469" s="40" t="s">
        <v>760</v>
      </c>
      <c r="F469" s="39" t="s">
        <v>759</v>
      </c>
      <c r="G469" s="38" t="s">
        <v>593</v>
      </c>
    </row>
    <row r="470" spans="5:7" x14ac:dyDescent="0.3">
      <c r="E470" s="40" t="s">
        <v>761</v>
      </c>
      <c r="F470" s="39" t="s">
        <v>759</v>
      </c>
      <c r="G470" s="38" t="s">
        <v>593</v>
      </c>
    </row>
    <row r="471" spans="5:7" x14ac:dyDescent="0.3">
      <c r="E471" s="40" t="s">
        <v>763</v>
      </c>
      <c r="F471" s="39" t="s">
        <v>762</v>
      </c>
      <c r="G471" s="38" t="s">
        <v>599</v>
      </c>
    </row>
    <row r="472" spans="5:7" x14ac:dyDescent="0.3">
      <c r="E472" s="40" t="s">
        <v>764</v>
      </c>
      <c r="F472" s="39" t="s">
        <v>762</v>
      </c>
      <c r="G472" s="38" t="s">
        <v>599</v>
      </c>
    </row>
    <row r="473" spans="5:7" x14ac:dyDescent="0.3">
      <c r="E473" s="40" t="s">
        <v>765</v>
      </c>
      <c r="F473" s="39" t="s">
        <v>767</v>
      </c>
      <c r="G473" s="38" t="s">
        <v>594</v>
      </c>
    </row>
    <row r="474" spans="5:7" x14ac:dyDescent="0.3">
      <c r="E474" s="40" t="s">
        <v>766</v>
      </c>
      <c r="F474" s="39" t="s">
        <v>767</v>
      </c>
      <c r="G474" s="38" t="s">
        <v>594</v>
      </c>
    </row>
    <row r="475" spans="5:7" x14ac:dyDescent="0.3">
      <c r="E475" s="40" t="s">
        <v>768</v>
      </c>
      <c r="F475" s="39" t="s">
        <v>770</v>
      </c>
      <c r="G475" s="38" t="s">
        <v>593</v>
      </c>
    </row>
    <row r="476" spans="5:7" x14ac:dyDescent="0.3">
      <c r="E476" s="40" t="s">
        <v>769</v>
      </c>
      <c r="F476" s="39" t="s">
        <v>770</v>
      </c>
      <c r="G476" s="38" t="s">
        <v>593</v>
      </c>
    </row>
    <row r="477" spans="5:7" x14ac:dyDescent="0.3">
      <c r="E477" s="40" t="s">
        <v>772</v>
      </c>
      <c r="F477" s="39" t="s">
        <v>771</v>
      </c>
      <c r="G477" s="38" t="s">
        <v>593</v>
      </c>
    </row>
    <row r="478" spans="5:7" x14ac:dyDescent="0.3">
      <c r="E478" s="40" t="s">
        <v>773</v>
      </c>
      <c r="F478" s="39" t="s">
        <v>771</v>
      </c>
      <c r="G478" s="38" t="s">
        <v>593</v>
      </c>
    </row>
    <row r="479" spans="5:7" x14ac:dyDescent="0.3">
      <c r="E479" s="40" t="s">
        <v>774</v>
      </c>
      <c r="F479" s="39" t="s">
        <v>776</v>
      </c>
      <c r="G479" s="38" t="s">
        <v>631</v>
      </c>
    </row>
    <row r="480" spans="5:7" x14ac:dyDescent="0.3">
      <c r="E480" s="40" t="s">
        <v>775</v>
      </c>
      <c r="F480" s="39" t="s">
        <v>776</v>
      </c>
      <c r="G480" s="38" t="s">
        <v>631</v>
      </c>
    </row>
    <row r="481" spans="5:7" x14ac:dyDescent="0.3">
      <c r="E481" s="40" t="s">
        <v>777</v>
      </c>
      <c r="F481" s="39" t="s">
        <v>779</v>
      </c>
      <c r="G481" s="38" t="s">
        <v>593</v>
      </c>
    </row>
    <row r="482" spans="5:7" x14ac:dyDescent="0.3">
      <c r="E482" s="40" t="s">
        <v>778</v>
      </c>
      <c r="F482" s="39" t="s">
        <v>779</v>
      </c>
      <c r="G482" s="38" t="s">
        <v>593</v>
      </c>
    </row>
    <row r="483" spans="5:7" x14ac:dyDescent="0.3">
      <c r="E483" s="40" t="s">
        <v>781</v>
      </c>
      <c r="F483" s="39" t="s">
        <v>783</v>
      </c>
      <c r="G483" s="38" t="s">
        <v>593</v>
      </c>
    </row>
    <row r="484" spans="5:7" x14ac:dyDescent="0.3">
      <c r="E484" s="40" t="s">
        <v>782</v>
      </c>
      <c r="F484" s="39" t="s">
        <v>783</v>
      </c>
      <c r="G484" s="38" t="s">
        <v>593</v>
      </c>
    </row>
    <row r="485" spans="5:7" x14ac:dyDescent="0.3">
      <c r="E485" s="40" t="s">
        <v>784</v>
      </c>
      <c r="F485" s="39" t="s">
        <v>786</v>
      </c>
      <c r="G485" s="38" t="s">
        <v>593</v>
      </c>
    </row>
    <row r="486" spans="5:7" x14ac:dyDescent="0.3">
      <c r="E486" s="40" t="s">
        <v>785</v>
      </c>
      <c r="F486" s="39" t="s">
        <v>786</v>
      </c>
      <c r="G486" s="38" t="s">
        <v>593</v>
      </c>
    </row>
    <row r="487" spans="5:7" x14ac:dyDescent="0.3">
      <c r="E487" s="40" t="s">
        <v>787</v>
      </c>
      <c r="F487" s="39" t="s">
        <v>789</v>
      </c>
      <c r="G487" s="38" t="s">
        <v>593</v>
      </c>
    </row>
    <row r="488" spans="5:7" x14ac:dyDescent="0.3">
      <c r="E488" s="40" t="s">
        <v>788</v>
      </c>
      <c r="F488" s="39" t="s">
        <v>789</v>
      </c>
      <c r="G488" s="38" t="s">
        <v>593</v>
      </c>
    </row>
    <row r="489" spans="5:7" x14ac:dyDescent="0.3">
      <c r="E489" s="40" t="s">
        <v>791</v>
      </c>
      <c r="F489" s="39" t="s">
        <v>793</v>
      </c>
      <c r="G489" s="38" t="s">
        <v>593</v>
      </c>
    </row>
    <row r="490" spans="5:7" x14ac:dyDescent="0.3">
      <c r="E490" s="40" t="s">
        <v>792</v>
      </c>
      <c r="F490" s="39" t="s">
        <v>793</v>
      </c>
      <c r="G490" s="38" t="s">
        <v>593</v>
      </c>
    </row>
    <row r="491" spans="5:7" x14ac:dyDescent="0.3">
      <c r="E491" s="40" t="s">
        <v>794</v>
      </c>
      <c r="F491" s="39" t="s">
        <v>796</v>
      </c>
      <c r="G491" s="38" t="s">
        <v>594</v>
      </c>
    </row>
    <row r="492" spans="5:7" x14ac:dyDescent="0.3">
      <c r="E492" s="40" t="s">
        <v>795</v>
      </c>
      <c r="F492" s="39" t="s">
        <v>796</v>
      </c>
      <c r="G492" s="38" t="s">
        <v>594</v>
      </c>
    </row>
    <row r="493" spans="5:7" x14ac:dyDescent="0.3">
      <c r="E493" s="40" t="s">
        <v>797</v>
      </c>
      <c r="F493" s="39" t="s">
        <v>799</v>
      </c>
      <c r="G493" s="38" t="s">
        <v>593</v>
      </c>
    </row>
    <row r="494" spans="5:7" x14ac:dyDescent="0.3">
      <c r="E494" s="40" t="s">
        <v>798</v>
      </c>
      <c r="F494" s="39" t="s">
        <v>799</v>
      </c>
      <c r="G494" s="38" t="s">
        <v>593</v>
      </c>
    </row>
    <row r="495" spans="5:7" x14ac:dyDescent="0.3">
      <c r="E495" s="40" t="s">
        <v>805</v>
      </c>
      <c r="F495" s="39" t="s">
        <v>807</v>
      </c>
      <c r="G495" s="38" t="s">
        <v>593</v>
      </c>
    </row>
    <row r="496" spans="5:7" x14ac:dyDescent="0.3">
      <c r="E496" s="40" t="s">
        <v>806</v>
      </c>
      <c r="F496" s="39" t="s">
        <v>807</v>
      </c>
      <c r="G496" s="38" t="s">
        <v>593</v>
      </c>
    </row>
    <row r="497" spans="5:7" x14ac:dyDescent="0.3">
      <c r="E497" s="40" t="s">
        <v>808</v>
      </c>
      <c r="F497" s="39" t="s">
        <v>810</v>
      </c>
      <c r="G497" s="38" t="s">
        <v>594</v>
      </c>
    </row>
    <row r="498" spans="5:7" x14ac:dyDescent="0.3">
      <c r="E498" s="40" t="s">
        <v>809</v>
      </c>
      <c r="F498" s="39" t="s">
        <v>810</v>
      </c>
      <c r="G498" s="38" t="s">
        <v>594</v>
      </c>
    </row>
    <row r="499" spans="5:7" x14ac:dyDescent="0.3">
      <c r="E499" s="40" t="s">
        <v>811</v>
      </c>
      <c r="F499" s="39" t="s">
        <v>815</v>
      </c>
      <c r="G499" s="38" t="s">
        <v>631</v>
      </c>
    </row>
    <row r="500" spans="5:7" x14ac:dyDescent="0.3">
      <c r="E500" s="40" t="s">
        <v>812</v>
      </c>
      <c r="F500" s="39" t="s">
        <v>815</v>
      </c>
      <c r="G500" s="38" t="s">
        <v>631</v>
      </c>
    </row>
    <row r="501" spans="5:7" x14ac:dyDescent="0.3">
      <c r="E501" s="40" t="s">
        <v>813</v>
      </c>
      <c r="F501" s="39" t="s">
        <v>816</v>
      </c>
      <c r="G501" s="38" t="s">
        <v>631</v>
      </c>
    </row>
    <row r="502" spans="5:7" x14ac:dyDescent="0.3">
      <c r="E502" s="40" t="s">
        <v>814</v>
      </c>
      <c r="F502" s="39" t="s">
        <v>816</v>
      </c>
      <c r="G502" s="38" t="s">
        <v>631</v>
      </c>
    </row>
    <row r="503" spans="5:7" x14ac:dyDescent="0.3">
      <c r="E503" s="40" t="s">
        <v>819</v>
      </c>
      <c r="F503" s="39" t="s">
        <v>817</v>
      </c>
      <c r="G503" s="38" t="s">
        <v>593</v>
      </c>
    </row>
    <row r="504" spans="5:7" x14ac:dyDescent="0.3">
      <c r="E504" s="40" t="s">
        <v>820</v>
      </c>
      <c r="F504" s="39" t="s">
        <v>817</v>
      </c>
      <c r="G504" s="38" t="s">
        <v>593</v>
      </c>
    </row>
    <row r="505" spans="5:7" x14ac:dyDescent="0.3">
      <c r="E505" s="40" t="s">
        <v>821</v>
      </c>
      <c r="F505" s="39" t="s">
        <v>818</v>
      </c>
      <c r="G505" s="38" t="s">
        <v>594</v>
      </c>
    </row>
    <row r="506" spans="5:7" x14ac:dyDescent="0.3">
      <c r="E506" s="40" t="s">
        <v>822</v>
      </c>
      <c r="F506" s="39" t="s">
        <v>818</v>
      </c>
      <c r="G506" s="38" t="s">
        <v>594</v>
      </c>
    </row>
  </sheetData>
  <autoFilter ref="D5:K503" xr:uid="{76D05B81-6E3E-4DB3-BBBC-A5ECC919F030}"/>
  <sortState xmlns:xlrd2="http://schemas.microsoft.com/office/spreadsheetml/2017/richdata2" ref="E6:J402">
    <sortCondition ref="E6:E402"/>
  </sortState>
  <phoneticPr fontId="19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75984-BDD0-4ED7-A09D-BBC848A258DD}">
  <sheetPr codeName="Sheet4"/>
  <dimension ref="A1:F30"/>
  <sheetViews>
    <sheetView topLeftCell="A4" workbookViewId="0">
      <selection activeCell="C30" sqref="C30"/>
    </sheetView>
  </sheetViews>
  <sheetFormatPr defaultRowHeight="14.4" x14ac:dyDescent="0.3"/>
  <cols>
    <col min="1" max="1" width="36.33203125" customWidth="1"/>
    <col min="2" max="2" width="7.5546875" bestFit="1" customWidth="1"/>
    <col min="3" max="3" width="10.44140625" bestFit="1" customWidth="1"/>
  </cols>
  <sheetData>
    <row r="1" spans="1:6" x14ac:dyDescent="0.3">
      <c r="A1" t="s">
        <v>40</v>
      </c>
      <c r="B1" t="s">
        <v>10</v>
      </c>
      <c r="C1" t="s">
        <v>39</v>
      </c>
      <c r="D1" t="s">
        <v>11</v>
      </c>
    </row>
    <row r="2" spans="1:6" x14ac:dyDescent="0.3">
      <c r="A2" s="1" t="s">
        <v>19</v>
      </c>
      <c r="B2" t="s">
        <v>13</v>
      </c>
      <c r="C2" t="s">
        <v>16</v>
      </c>
    </row>
    <row r="3" spans="1:6" x14ac:dyDescent="0.3">
      <c r="A3" s="1" t="s">
        <v>22</v>
      </c>
      <c r="B3" t="s">
        <v>21</v>
      </c>
      <c r="C3" t="s">
        <v>16</v>
      </c>
      <c r="D3">
        <v>20</v>
      </c>
      <c r="F3">
        <v>9.9499999999999993</v>
      </c>
    </row>
    <row r="4" spans="1:6" x14ac:dyDescent="0.3">
      <c r="A4" s="1" t="s">
        <v>26</v>
      </c>
      <c r="B4" t="s">
        <v>21</v>
      </c>
      <c r="C4" t="s">
        <v>16</v>
      </c>
      <c r="D4">
        <v>20</v>
      </c>
      <c r="F4">
        <v>5.95</v>
      </c>
    </row>
    <row r="5" spans="1:6" x14ac:dyDescent="0.3">
      <c r="A5" s="1" t="s">
        <v>28</v>
      </c>
      <c r="B5" t="s">
        <v>13</v>
      </c>
      <c r="C5" t="s">
        <v>12</v>
      </c>
    </row>
    <row r="6" spans="1:6" x14ac:dyDescent="0.3">
      <c r="A6" s="1" t="s">
        <v>29</v>
      </c>
      <c r="B6" t="s">
        <v>13</v>
      </c>
      <c r="C6" t="s">
        <v>16</v>
      </c>
    </row>
    <row r="7" spans="1:6" x14ac:dyDescent="0.3">
      <c r="A7" s="1" t="s">
        <v>30</v>
      </c>
      <c r="B7" t="s">
        <v>21</v>
      </c>
      <c r="C7" t="s">
        <v>16</v>
      </c>
      <c r="D7">
        <v>20</v>
      </c>
      <c r="F7">
        <v>7.95</v>
      </c>
    </row>
    <row r="8" spans="1:6" x14ac:dyDescent="0.3">
      <c r="A8" s="1" t="s">
        <v>31</v>
      </c>
      <c r="B8" t="s">
        <v>21</v>
      </c>
      <c r="C8" t="s">
        <v>12</v>
      </c>
      <c r="D8">
        <v>24.4</v>
      </c>
    </row>
    <row r="9" spans="1:6" x14ac:dyDescent="0.3">
      <c r="A9" s="1" t="s">
        <v>33</v>
      </c>
      <c r="B9" t="s">
        <v>21</v>
      </c>
      <c r="C9" t="s">
        <v>16</v>
      </c>
      <c r="D9">
        <v>22</v>
      </c>
      <c r="F9">
        <v>11.95</v>
      </c>
    </row>
    <row r="10" spans="1:6" x14ac:dyDescent="0.3">
      <c r="A10" s="1" t="s">
        <v>20</v>
      </c>
      <c r="B10" t="s">
        <v>13</v>
      </c>
      <c r="C10" t="s">
        <v>16</v>
      </c>
    </row>
    <row r="11" spans="1:6" x14ac:dyDescent="0.3">
      <c r="A11" s="1" t="s">
        <v>41</v>
      </c>
      <c r="B11" t="s">
        <v>21</v>
      </c>
      <c r="C11" t="s">
        <v>16</v>
      </c>
      <c r="D11">
        <v>21</v>
      </c>
    </row>
    <row r="12" spans="1:6" x14ac:dyDescent="0.3">
      <c r="A12" s="5" t="s">
        <v>15</v>
      </c>
      <c r="B12" t="s">
        <v>13</v>
      </c>
      <c r="C12" t="s">
        <v>12</v>
      </c>
    </row>
    <row r="13" spans="1:6" x14ac:dyDescent="0.3">
      <c r="A13" s="5" t="s">
        <v>42</v>
      </c>
      <c r="B13" t="s">
        <v>13</v>
      </c>
      <c r="C13" t="s">
        <v>16</v>
      </c>
    </row>
    <row r="14" spans="1:6" x14ac:dyDescent="0.3">
      <c r="A14" s="5" t="s">
        <v>43</v>
      </c>
      <c r="B14" t="s">
        <v>21</v>
      </c>
      <c r="C14" t="s">
        <v>16</v>
      </c>
      <c r="D14">
        <v>20</v>
      </c>
    </row>
    <row r="15" spans="1:6" x14ac:dyDescent="0.3">
      <c r="A15" s="5" t="s">
        <v>24</v>
      </c>
      <c r="B15" t="s">
        <v>21</v>
      </c>
      <c r="C15" t="s">
        <v>16</v>
      </c>
      <c r="D15">
        <v>30</v>
      </c>
    </row>
    <row r="16" spans="1:6" x14ac:dyDescent="0.3">
      <c r="A16" s="5" t="s">
        <v>44</v>
      </c>
      <c r="B16" t="s">
        <v>21</v>
      </c>
      <c r="C16" t="s">
        <v>16</v>
      </c>
      <c r="D16">
        <v>20</v>
      </c>
    </row>
    <row r="17" spans="1:4" x14ac:dyDescent="0.3">
      <c r="A17" s="5" t="s">
        <v>27</v>
      </c>
      <c r="B17" t="s">
        <v>13</v>
      </c>
      <c r="C17" t="s">
        <v>12</v>
      </c>
    </row>
    <row r="18" spans="1:4" x14ac:dyDescent="0.3">
      <c r="A18" t="s">
        <v>18</v>
      </c>
      <c r="B18" t="s">
        <v>13</v>
      </c>
      <c r="C18" t="s">
        <v>16</v>
      </c>
    </row>
    <row r="19" spans="1:4" x14ac:dyDescent="0.3">
      <c r="A19" s="5" t="s">
        <v>45</v>
      </c>
      <c r="B19" t="s">
        <v>13</v>
      </c>
      <c r="C19" t="s">
        <v>16</v>
      </c>
    </row>
    <row r="20" spans="1:4" x14ac:dyDescent="0.3">
      <c r="A20" t="s">
        <v>46</v>
      </c>
      <c r="B20" t="s">
        <v>21</v>
      </c>
      <c r="C20" t="s">
        <v>16</v>
      </c>
      <c r="D20">
        <v>20</v>
      </c>
    </row>
    <row r="21" spans="1:4" x14ac:dyDescent="0.3">
      <c r="A21" t="s">
        <v>47</v>
      </c>
      <c r="B21" t="s">
        <v>21</v>
      </c>
      <c r="C21" t="s">
        <v>16</v>
      </c>
      <c r="D21">
        <v>20</v>
      </c>
    </row>
    <row r="22" spans="1:4" x14ac:dyDescent="0.3">
      <c r="A22" t="s">
        <v>48</v>
      </c>
      <c r="B22" t="s">
        <v>21</v>
      </c>
      <c r="C22" t="s">
        <v>16</v>
      </c>
      <c r="D22">
        <v>20</v>
      </c>
    </row>
    <row r="23" spans="1:4" x14ac:dyDescent="0.3">
      <c r="A23" s="6" t="s">
        <v>32</v>
      </c>
      <c r="B23" t="s">
        <v>21</v>
      </c>
      <c r="C23" t="s">
        <v>12</v>
      </c>
      <c r="D23">
        <v>24.4</v>
      </c>
    </row>
    <row r="24" spans="1:4" x14ac:dyDescent="0.3">
      <c r="A24" s="7" t="s">
        <v>25</v>
      </c>
      <c r="B24" t="s">
        <v>21</v>
      </c>
      <c r="C24" t="s">
        <v>12</v>
      </c>
      <c r="D24">
        <v>0</v>
      </c>
    </row>
    <row r="25" spans="1:4" x14ac:dyDescent="0.3">
      <c r="A25" t="s">
        <v>629</v>
      </c>
      <c r="B25" t="s">
        <v>13</v>
      </c>
      <c r="C25" t="s">
        <v>16</v>
      </c>
    </row>
    <row r="26" spans="1:4" x14ac:dyDescent="0.3">
      <c r="A26" s="11" t="s">
        <v>630</v>
      </c>
      <c r="B26" t="s">
        <v>13</v>
      </c>
      <c r="C26" t="s">
        <v>12</v>
      </c>
    </row>
    <row r="27" spans="1:4" x14ac:dyDescent="0.3">
      <c r="A27" s="11" t="s">
        <v>653</v>
      </c>
      <c r="B27" t="s">
        <v>21</v>
      </c>
      <c r="C27" t="s">
        <v>12</v>
      </c>
    </row>
    <row r="28" spans="1:4" x14ac:dyDescent="0.3">
      <c r="A28" s="41" t="s">
        <v>790</v>
      </c>
      <c r="B28" t="s">
        <v>21</v>
      </c>
      <c r="C28" t="s">
        <v>12</v>
      </c>
    </row>
    <row r="29" spans="1:4" x14ac:dyDescent="0.3">
      <c r="A29" s="44" t="s">
        <v>1038</v>
      </c>
      <c r="B29" t="s">
        <v>21</v>
      </c>
      <c r="C29" t="s">
        <v>16</v>
      </c>
    </row>
    <row r="30" spans="1:4" x14ac:dyDescent="0.3">
      <c r="A30" s="45" t="s">
        <v>1252</v>
      </c>
      <c r="B30" t="s">
        <v>13</v>
      </c>
      <c r="C30" t="s">
        <v>16</v>
      </c>
    </row>
  </sheetData>
  <autoFilter ref="A1:D24" xr:uid="{9B475984-BDD0-4ED7-A09D-BBC848A258DD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DA417-A9D7-4CBA-BE9C-9EAC3B582866}">
  <sheetPr codeName="Sheet5"/>
  <dimension ref="A1:Q246"/>
  <sheetViews>
    <sheetView topLeftCell="L1" zoomScale="85" workbookViewId="0">
      <selection activeCell="P1" sqref="P1"/>
    </sheetView>
  </sheetViews>
  <sheetFormatPr defaultRowHeight="14.4" x14ac:dyDescent="0.3"/>
  <cols>
    <col min="1" max="1" width="38.77734375" bestFit="1" customWidth="1"/>
    <col min="2" max="2" width="20.5546875" bestFit="1" customWidth="1"/>
    <col min="3" max="3" width="12.5546875" bestFit="1" customWidth="1"/>
    <col min="4" max="4" width="18.44140625" bestFit="1" customWidth="1"/>
    <col min="5" max="5" width="16.21875" bestFit="1" customWidth="1"/>
    <col min="6" max="6" width="30.6640625" bestFit="1" customWidth="1"/>
    <col min="7" max="7" width="13.33203125" bestFit="1" customWidth="1"/>
    <col min="8" max="8" width="14.6640625" bestFit="1" customWidth="1"/>
    <col min="9" max="9" width="10.21875" bestFit="1" customWidth="1"/>
    <col min="10" max="10" width="23" bestFit="1" customWidth="1"/>
    <col min="11" max="11" width="25.44140625" bestFit="1" customWidth="1"/>
    <col min="12" max="12" width="26" bestFit="1" customWidth="1"/>
    <col min="13" max="13" width="28.5546875" bestFit="1" customWidth="1"/>
    <col min="14" max="14" width="54.109375" bestFit="1" customWidth="1"/>
    <col min="15" max="15" width="8.44140625" bestFit="1" customWidth="1"/>
    <col min="16" max="16" width="7.6640625" bestFit="1" customWidth="1"/>
    <col min="17" max="17" width="8.1093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600</v>
      </c>
      <c r="H1" t="s">
        <v>601</v>
      </c>
      <c r="I1" t="s">
        <v>602</v>
      </c>
      <c r="J1" t="s">
        <v>6</v>
      </c>
      <c r="K1" t="s">
        <v>7</v>
      </c>
      <c r="L1" t="s">
        <v>603</v>
      </c>
      <c r="M1" t="s">
        <v>8</v>
      </c>
      <c r="N1" t="s">
        <v>518</v>
      </c>
      <c r="O1" t="s">
        <v>9</v>
      </c>
      <c r="P1" t="s">
        <v>10</v>
      </c>
      <c r="Q1" t="s">
        <v>520</v>
      </c>
    </row>
    <row r="2" spans="1:17" x14ac:dyDescent="0.3">
      <c r="A2" s="42" t="s">
        <v>1173</v>
      </c>
      <c r="B2" s="42" t="s">
        <v>1174</v>
      </c>
      <c r="C2" s="42" t="s">
        <v>12</v>
      </c>
      <c r="D2">
        <v>24340523</v>
      </c>
      <c r="E2" s="42" t="s">
        <v>1175</v>
      </c>
      <c r="F2" s="42" t="s">
        <v>158</v>
      </c>
      <c r="G2">
        <v>329</v>
      </c>
      <c r="H2" s="42" t="s">
        <v>13</v>
      </c>
      <c r="I2">
        <v>23.95</v>
      </c>
      <c r="J2" s="42" t="s">
        <v>14</v>
      </c>
      <c r="K2" s="42" t="s">
        <v>877</v>
      </c>
      <c r="L2" s="10">
        <v>45909</v>
      </c>
      <c r="M2" s="42" t="s">
        <v>15</v>
      </c>
      <c r="N2" s="42" t="str">
        <f>+INDEX(COMSY!F:F,MATCH(INSERITO_KIM[[#This Row],[Codice Comsy Tecnico Attuale]],COMSY!E:E,0))</f>
        <v xml:space="preserve">INFOPOINT DI DEL VECCHIO ROSA E CORTIGIANO CARMELA </v>
      </c>
      <c r="O2" s="42" t="str">
        <f>+INDEX(COMSY!G:G,MATCH(INSERITO_KIM[[#This Row],[Codice Comsy Tecnico Attuale]],COMSY!E:E,0))</f>
        <v>Giacomo</v>
      </c>
      <c r="P2" s="42" t="str">
        <f>+INDEX(PIANI!B:B,MATCH(INSERITO_KIM[[#This Row],[Valore]],PIANI!A:A,0))</f>
        <v>FISSO</v>
      </c>
      <c r="Q2" s="42">
        <f>+INDEX(PIANI!D:D,MATCH(INSERITO_KIM[[#This Row],[Valore]],PIANI!A:A,0))</f>
        <v>0</v>
      </c>
    </row>
    <row r="3" spans="1:17" x14ac:dyDescent="0.3">
      <c r="A3" s="42" t="s">
        <v>987</v>
      </c>
      <c r="B3" s="42" t="s">
        <v>988</v>
      </c>
      <c r="C3" s="42" t="s">
        <v>16</v>
      </c>
      <c r="D3">
        <v>24375407</v>
      </c>
      <c r="E3" s="42" t="s">
        <v>989</v>
      </c>
      <c r="F3" s="42" t="s">
        <v>114</v>
      </c>
      <c r="G3">
        <v>20</v>
      </c>
      <c r="H3" s="42" t="s">
        <v>700</v>
      </c>
      <c r="I3">
        <v>33.9</v>
      </c>
      <c r="J3" s="42" t="s">
        <v>14</v>
      </c>
      <c r="K3" s="42" t="s">
        <v>877</v>
      </c>
      <c r="L3" s="10">
        <v>45906</v>
      </c>
      <c r="M3" s="42" t="s">
        <v>19</v>
      </c>
      <c r="N3" s="42" t="str">
        <f>+INDEX(COMSY!F:F,MATCH(INSERITO_KIM[[#This Row],[Codice Comsy Tecnico Attuale]],COMSY!E:E,0))</f>
        <v>MILILLO GIUSEPPE</v>
      </c>
      <c r="O3" s="42" t="str">
        <f>+INDEX(COMSY!G:G,MATCH(INSERITO_KIM[[#This Row],[Codice Comsy Tecnico Attuale]],COMSY!E:E,0))</f>
        <v>Giacomo</v>
      </c>
      <c r="P3" s="42" t="str">
        <f>+INDEX(PIANI!B:B,MATCH(INSERITO_KIM[[#This Row],[Valore]],PIANI!A:A,0))</f>
        <v>FISSO</v>
      </c>
      <c r="Q3" s="42">
        <f>+INDEX(PIANI!D:D,MATCH(INSERITO_KIM[[#This Row],[Valore]],PIANI!A:A,0))</f>
        <v>0</v>
      </c>
    </row>
    <row r="4" spans="1:17" x14ac:dyDescent="0.3">
      <c r="A4" s="42" t="s">
        <v>1122</v>
      </c>
      <c r="B4" s="42" t="s">
        <v>1123</v>
      </c>
      <c r="C4" s="42" t="s">
        <v>16</v>
      </c>
      <c r="D4">
        <v>24379721</v>
      </c>
      <c r="E4" s="42" t="s">
        <v>1124</v>
      </c>
      <c r="F4" s="42" t="s">
        <v>114</v>
      </c>
      <c r="G4">
        <v>0</v>
      </c>
      <c r="H4" s="42" t="s">
        <v>13</v>
      </c>
      <c r="I4">
        <v>27.95</v>
      </c>
      <c r="J4" s="42" t="s">
        <v>14</v>
      </c>
      <c r="K4" s="42" t="s">
        <v>877</v>
      </c>
      <c r="L4" s="10">
        <v>45908</v>
      </c>
      <c r="M4" s="42" t="s">
        <v>19</v>
      </c>
      <c r="N4" s="42" t="str">
        <f>+INDEX(COMSY!F:F,MATCH(INSERITO_KIM[[#This Row],[Codice Comsy Tecnico Attuale]],COMSY!E:E,0))</f>
        <v>MILILLO GIUSEPPE</v>
      </c>
      <c r="O4" s="42" t="str">
        <f>+INDEX(COMSY!G:G,MATCH(INSERITO_KIM[[#This Row],[Codice Comsy Tecnico Attuale]],COMSY!E:E,0))</f>
        <v>Giacomo</v>
      </c>
      <c r="P4" s="42" t="str">
        <f>+INDEX(PIANI!B:B,MATCH(INSERITO_KIM[[#This Row],[Valore]],PIANI!A:A,0))</f>
        <v>FISSO</v>
      </c>
      <c r="Q4" s="42">
        <f>+INDEX(PIANI!D:D,MATCH(INSERITO_KIM[[#This Row],[Valore]],PIANI!A:A,0))</f>
        <v>0</v>
      </c>
    </row>
    <row r="5" spans="1:17" x14ac:dyDescent="0.3">
      <c r="A5" s="42" t="s">
        <v>1210</v>
      </c>
      <c r="B5" s="42" t="s">
        <v>1211</v>
      </c>
      <c r="C5" s="42" t="s">
        <v>16</v>
      </c>
      <c r="D5">
        <v>24384367</v>
      </c>
      <c r="E5" s="42" t="s">
        <v>1212</v>
      </c>
      <c r="F5" s="42" t="s">
        <v>64</v>
      </c>
      <c r="G5">
        <v>40</v>
      </c>
      <c r="H5" s="42" t="s">
        <v>700</v>
      </c>
      <c r="I5">
        <v>43.85</v>
      </c>
      <c r="J5" s="42" t="s">
        <v>14</v>
      </c>
      <c r="K5" s="42" t="s">
        <v>877</v>
      </c>
      <c r="L5" s="10">
        <v>45910</v>
      </c>
      <c r="M5" s="42" t="s">
        <v>19</v>
      </c>
      <c r="N5" s="42" t="str">
        <f>+INDEX(COMSY!F:F,MATCH(INSERITO_KIM[[#This Row],[Codice Comsy Tecnico Attuale]],COMSY!E:E,0))</f>
        <v>MEDIA CENTER DI LUCA BARBERIO</v>
      </c>
      <c r="O5" s="42" t="str">
        <f>+INDEX(COMSY!G:G,MATCH(INSERITO_KIM[[#This Row],[Codice Comsy Tecnico Attuale]],COMSY!E:E,0))</f>
        <v>Giacomo</v>
      </c>
      <c r="P5" s="42" t="str">
        <f>+INDEX(PIANI!B:B,MATCH(INSERITO_KIM[[#This Row],[Valore]],PIANI!A:A,0))</f>
        <v>FISSO</v>
      </c>
      <c r="Q5" s="42">
        <f>+INDEX(PIANI!D:D,MATCH(INSERITO_KIM[[#This Row],[Valore]],PIANI!A:A,0))</f>
        <v>0</v>
      </c>
    </row>
    <row r="6" spans="1:17" x14ac:dyDescent="0.3">
      <c r="A6" s="42" t="s">
        <v>1304</v>
      </c>
      <c r="B6" s="42" t="s">
        <v>1305</v>
      </c>
      <c r="C6" s="42" t="s">
        <v>16</v>
      </c>
      <c r="D6">
        <v>20030402</v>
      </c>
      <c r="E6" s="42" t="s">
        <v>1306</v>
      </c>
      <c r="F6" s="42" t="s">
        <v>64</v>
      </c>
      <c r="G6">
        <v>0</v>
      </c>
      <c r="H6" s="42" t="s">
        <v>13</v>
      </c>
      <c r="I6">
        <v>23.95</v>
      </c>
      <c r="J6" s="42" t="s">
        <v>14</v>
      </c>
      <c r="K6" s="42" t="s">
        <v>877</v>
      </c>
      <c r="L6" s="10">
        <v>45912</v>
      </c>
      <c r="M6" s="42" t="s">
        <v>19</v>
      </c>
      <c r="N6" s="42" t="str">
        <f>+INDEX(COMSY!F:F,MATCH(INSERITO_KIM[[#This Row],[Codice Comsy Tecnico Attuale]],COMSY!E:E,0))</f>
        <v>MEDIA CENTER DI LUCA BARBERIO</v>
      </c>
      <c r="O6" s="42" t="str">
        <f>+INDEX(COMSY!G:G,MATCH(INSERITO_KIM[[#This Row],[Codice Comsy Tecnico Attuale]],COMSY!E:E,0))</f>
        <v>Giacomo</v>
      </c>
      <c r="P6" s="42" t="str">
        <f>+INDEX(PIANI!B:B,MATCH(INSERITO_KIM[[#This Row],[Valore]],PIANI!A:A,0))</f>
        <v>FISSO</v>
      </c>
      <c r="Q6" s="42">
        <f>+INDEX(PIANI!D:D,MATCH(INSERITO_KIM[[#This Row],[Valore]],PIANI!A:A,0))</f>
        <v>0</v>
      </c>
    </row>
    <row r="7" spans="1:17" x14ac:dyDescent="0.3">
      <c r="A7" s="42" t="s">
        <v>1125</v>
      </c>
      <c r="B7" s="42" t="s">
        <v>1126</v>
      </c>
      <c r="C7" s="42" t="s">
        <v>16</v>
      </c>
      <c r="D7">
        <v>24379923</v>
      </c>
      <c r="E7" s="42" t="s">
        <v>1127</v>
      </c>
      <c r="F7" s="42" t="s">
        <v>122</v>
      </c>
      <c r="G7">
        <v>0</v>
      </c>
      <c r="H7" s="42" t="s">
        <v>13</v>
      </c>
      <c r="I7">
        <v>27.95</v>
      </c>
      <c r="J7" s="42" t="s">
        <v>14</v>
      </c>
      <c r="K7" s="42" t="s">
        <v>877</v>
      </c>
      <c r="L7" s="10">
        <v>45908</v>
      </c>
      <c r="M7" s="42" t="s">
        <v>19</v>
      </c>
      <c r="N7" s="42" t="str">
        <f>+INDEX(COMSY!F:F,MATCH(INSERITO_KIM[[#This Row],[Codice Comsy Tecnico Attuale]],COMSY!E:E,0))</f>
        <v>PC CENTER DI LACAVA MASSIMO GIUSEPPE</v>
      </c>
      <c r="O7" s="42" t="str">
        <f>+INDEX(COMSY!G:G,MATCH(INSERITO_KIM[[#This Row],[Codice Comsy Tecnico Attuale]],COMSY!E:E,0))</f>
        <v>Armando</v>
      </c>
      <c r="P7" s="42" t="str">
        <f>+INDEX(PIANI!B:B,MATCH(INSERITO_KIM[[#This Row],[Valore]],PIANI!A:A,0))</f>
        <v>FISSO</v>
      </c>
      <c r="Q7" s="42">
        <f>+INDEX(PIANI!D:D,MATCH(INSERITO_KIM[[#This Row],[Valore]],PIANI!A:A,0))</f>
        <v>0</v>
      </c>
    </row>
    <row r="8" spans="1:17" x14ac:dyDescent="0.3">
      <c r="A8" s="42" t="s">
        <v>874</v>
      </c>
      <c r="B8" s="42" t="s">
        <v>875</v>
      </c>
      <c r="C8" s="42" t="s">
        <v>16</v>
      </c>
      <c r="D8">
        <v>24365675</v>
      </c>
      <c r="E8" s="42" t="s">
        <v>876</v>
      </c>
      <c r="F8" s="42" t="s">
        <v>88</v>
      </c>
      <c r="G8">
        <v>0</v>
      </c>
      <c r="H8" s="42" t="s">
        <v>13</v>
      </c>
      <c r="I8">
        <v>27.95</v>
      </c>
      <c r="J8" s="42" t="s">
        <v>14</v>
      </c>
      <c r="K8" s="42" t="s">
        <v>877</v>
      </c>
      <c r="L8" s="10">
        <v>45902</v>
      </c>
      <c r="M8" s="42" t="s">
        <v>19</v>
      </c>
      <c r="N8" s="42" t="str">
        <f>+INDEX(COMSY!F:F,MATCH(INSERITO_KIM[[#This Row],[Codice Comsy Tecnico Attuale]],COMSY!E:E,0))</f>
        <v>HDC REPAIR SERVICE DI FRANCAVILLA MICHELE</v>
      </c>
      <c r="O8" s="42" t="str">
        <f>+INDEX(COMSY!G:G,MATCH(INSERITO_KIM[[#This Row],[Codice Comsy Tecnico Attuale]],COMSY!E:E,0))</f>
        <v>Giacomo</v>
      </c>
      <c r="P8" s="42" t="str">
        <f>+INDEX(PIANI!B:B,MATCH(INSERITO_KIM[[#This Row],[Valore]],PIANI!A:A,0))</f>
        <v>FISSO</v>
      </c>
      <c r="Q8" s="42">
        <f>+INDEX(PIANI!D:D,MATCH(INSERITO_KIM[[#This Row],[Valore]],PIANI!A:A,0))</f>
        <v>0</v>
      </c>
    </row>
    <row r="9" spans="1:17" x14ac:dyDescent="0.3">
      <c r="A9" s="42" t="s">
        <v>990</v>
      </c>
      <c r="B9" s="42" t="s">
        <v>991</v>
      </c>
      <c r="C9" s="42" t="s">
        <v>16</v>
      </c>
      <c r="D9">
        <v>24372278</v>
      </c>
      <c r="E9" s="42" t="s">
        <v>992</v>
      </c>
      <c r="F9" s="42" t="s">
        <v>82</v>
      </c>
      <c r="G9">
        <v>20</v>
      </c>
      <c r="H9" s="42" t="s">
        <v>700</v>
      </c>
      <c r="I9">
        <v>33.9</v>
      </c>
      <c r="J9" s="42" t="s">
        <v>14</v>
      </c>
      <c r="K9" s="42" t="s">
        <v>780</v>
      </c>
      <c r="L9" s="10">
        <v>45904</v>
      </c>
      <c r="M9" s="42" t="s">
        <v>19</v>
      </c>
      <c r="N9" s="42" t="str">
        <f>+INDEX(COMSY!F:F,MATCH(INSERITO_KIM[[#This Row],[Codice Comsy Tecnico Attuale]],COMSY!E:E,0))</f>
        <v>BOXSTORE DI SAVINO</v>
      </c>
      <c r="O9" s="42" t="str">
        <f>+INDEX(COMSY!G:G,MATCH(INSERITO_KIM[[#This Row],[Codice Comsy Tecnico Attuale]],COMSY!E:E,0))</f>
        <v>Giacomo</v>
      </c>
      <c r="P9" s="42" t="str">
        <f>+INDEX(PIANI!B:B,MATCH(INSERITO_KIM[[#This Row],[Valore]],PIANI!A:A,0))</f>
        <v>FISSO</v>
      </c>
      <c r="Q9" s="42">
        <f>+INDEX(PIANI!D:D,MATCH(INSERITO_KIM[[#This Row],[Valore]],PIANI!A:A,0))</f>
        <v>0</v>
      </c>
    </row>
    <row r="10" spans="1:17" x14ac:dyDescent="0.3">
      <c r="A10" s="42" t="s">
        <v>1253</v>
      </c>
      <c r="B10" s="42" t="s">
        <v>1254</v>
      </c>
      <c r="C10" s="42" t="s">
        <v>16</v>
      </c>
      <c r="D10">
        <v>24390378</v>
      </c>
      <c r="E10" s="42" t="s">
        <v>1255</v>
      </c>
      <c r="F10" s="42" t="s">
        <v>52</v>
      </c>
      <c r="G10">
        <v>20</v>
      </c>
      <c r="H10" s="42" t="s">
        <v>700</v>
      </c>
      <c r="I10">
        <v>33.9</v>
      </c>
      <c r="J10" s="42" t="s">
        <v>14</v>
      </c>
      <c r="K10" s="42" t="s">
        <v>877</v>
      </c>
      <c r="L10" s="10">
        <v>45911</v>
      </c>
      <c r="M10" s="42" t="s">
        <v>19</v>
      </c>
      <c r="N10" s="42" t="str">
        <f>+INDEX(COMSY!F:F,MATCH(INSERITO_KIM[[#This Row],[Codice Comsy Tecnico Attuale]],COMSY!E:E,0))</f>
        <v>HUB 98 di DRAGONE GIUSEPPE</v>
      </c>
      <c r="O10" s="42" t="str">
        <f>+INDEX(COMSY!G:G,MATCH(INSERITO_KIM[[#This Row],[Codice Comsy Tecnico Attuale]],COMSY!E:E,0))</f>
        <v>Raffaele</v>
      </c>
      <c r="P10" s="42" t="str">
        <f>+INDEX(PIANI!B:B,MATCH(INSERITO_KIM[[#This Row],[Valore]],PIANI!A:A,0))</f>
        <v>FISSO</v>
      </c>
      <c r="Q10" s="42">
        <f>+INDEX(PIANI!D:D,MATCH(INSERITO_KIM[[#This Row],[Valore]],PIANI!A:A,0))</f>
        <v>0</v>
      </c>
    </row>
    <row r="11" spans="1:17" x14ac:dyDescent="0.3">
      <c r="A11" s="42" t="s">
        <v>1307</v>
      </c>
      <c r="B11" s="42" t="s">
        <v>1308</v>
      </c>
      <c r="C11" s="42" t="s">
        <v>16</v>
      </c>
      <c r="D11">
        <v>24393343</v>
      </c>
      <c r="E11" s="42" t="s">
        <v>1309</v>
      </c>
      <c r="F11" s="42" t="s">
        <v>52</v>
      </c>
      <c r="G11">
        <v>20</v>
      </c>
      <c r="H11" s="42" t="s">
        <v>700</v>
      </c>
      <c r="I11">
        <v>33.9</v>
      </c>
      <c r="J11" s="42" t="s">
        <v>14</v>
      </c>
      <c r="K11" s="42" t="s">
        <v>877</v>
      </c>
      <c r="L11" s="10">
        <v>45912</v>
      </c>
      <c r="M11" s="42" t="s">
        <v>19</v>
      </c>
      <c r="N11" s="42" t="str">
        <f>+INDEX(COMSY!F:F,MATCH(INSERITO_KIM[[#This Row],[Codice Comsy Tecnico Attuale]],COMSY!E:E,0))</f>
        <v>HUB 98 di DRAGONE GIUSEPPE</v>
      </c>
      <c r="O11" s="42" t="str">
        <f>+INDEX(COMSY!G:G,MATCH(INSERITO_KIM[[#This Row],[Codice Comsy Tecnico Attuale]],COMSY!E:E,0))</f>
        <v>Raffaele</v>
      </c>
      <c r="P11" s="42" t="str">
        <f>+INDEX(PIANI!B:B,MATCH(INSERITO_KIM[[#This Row],[Valore]],PIANI!A:A,0))</f>
        <v>FISSO</v>
      </c>
      <c r="Q11" s="42">
        <f>+INDEX(PIANI!D:D,MATCH(INSERITO_KIM[[#This Row],[Valore]],PIANI!A:A,0))</f>
        <v>0</v>
      </c>
    </row>
    <row r="12" spans="1:17" x14ac:dyDescent="0.3">
      <c r="A12" s="42" t="s">
        <v>1310</v>
      </c>
      <c r="B12" s="42" t="s">
        <v>1311</v>
      </c>
      <c r="C12" s="42" t="s">
        <v>16</v>
      </c>
      <c r="D12">
        <v>24393232</v>
      </c>
      <c r="E12" s="42" t="s">
        <v>1312</v>
      </c>
      <c r="F12" s="42" t="s">
        <v>636</v>
      </c>
      <c r="G12">
        <v>0</v>
      </c>
      <c r="H12" s="42" t="s">
        <v>13</v>
      </c>
      <c r="I12">
        <v>27.95</v>
      </c>
      <c r="J12" s="42" t="s">
        <v>14</v>
      </c>
      <c r="K12" s="42" t="s">
        <v>780</v>
      </c>
      <c r="L12" s="10">
        <v>45912</v>
      </c>
      <c r="M12" s="42" t="s">
        <v>19</v>
      </c>
      <c r="N12" s="42" t="str">
        <f>+INDEX(COMSY!F:F,MATCH(INSERITO_KIM[[#This Row],[Codice Comsy Tecnico Attuale]],COMSY!E:E,0))</f>
        <v>REPAIR MOBILE STORE DI CARMINE PALMIERI</v>
      </c>
      <c r="O12" s="42" t="str">
        <f>+INDEX(COMSY!G:G,MATCH(INSERITO_KIM[[#This Row],[Codice Comsy Tecnico Attuale]],COMSY!E:E,0))</f>
        <v>Luigi</v>
      </c>
      <c r="P12" s="42" t="str">
        <f>+INDEX(PIANI!B:B,MATCH(INSERITO_KIM[[#This Row],[Valore]],PIANI!A:A,0))</f>
        <v>FISSO</v>
      </c>
      <c r="Q12" s="42">
        <f>+INDEX(PIANI!D:D,MATCH(INSERITO_KIM[[#This Row],[Valore]],PIANI!A:A,0))</f>
        <v>0</v>
      </c>
    </row>
    <row r="13" spans="1:17" x14ac:dyDescent="0.3">
      <c r="A13" s="42" t="s">
        <v>1352</v>
      </c>
      <c r="B13" s="42" t="s">
        <v>1353</v>
      </c>
      <c r="C13" s="42" t="s">
        <v>16</v>
      </c>
      <c r="D13">
        <v>23997185</v>
      </c>
      <c r="E13" s="42" t="s">
        <v>1354</v>
      </c>
      <c r="F13" s="42" t="s">
        <v>633</v>
      </c>
      <c r="G13">
        <v>0</v>
      </c>
      <c r="H13" s="42" t="s">
        <v>13</v>
      </c>
      <c r="I13">
        <v>23.95</v>
      </c>
      <c r="J13" s="42" t="s">
        <v>14</v>
      </c>
      <c r="K13" s="42" t="s">
        <v>877</v>
      </c>
      <c r="L13" s="10">
        <v>45913</v>
      </c>
      <c r="M13" s="42" t="s">
        <v>19</v>
      </c>
      <c r="N13" s="42" t="str">
        <f>+INDEX(COMSY!F:F,MATCH(INSERITO_KIM[[#This Row],[Codice Comsy Tecnico Attuale]],COMSY!E:E,0))</f>
        <v>RISOLTO LAB MONOPOLI</v>
      </c>
      <c r="O13" s="42" t="str">
        <f>+INDEX(COMSY!G:G,MATCH(INSERITO_KIM[[#This Row],[Codice Comsy Tecnico Attuale]],COMSY!E:E,0))</f>
        <v>Giacomo</v>
      </c>
      <c r="P13" s="42" t="str">
        <f>+INDEX(PIANI!B:B,MATCH(INSERITO_KIM[[#This Row],[Valore]],PIANI!A:A,0))</f>
        <v>FISSO</v>
      </c>
      <c r="Q13" s="42">
        <f>+INDEX(PIANI!D:D,MATCH(INSERITO_KIM[[#This Row],[Valore]],PIANI!A:A,0))</f>
        <v>0</v>
      </c>
    </row>
    <row r="14" spans="1:17" x14ac:dyDescent="0.3">
      <c r="A14" s="42" t="s">
        <v>932</v>
      </c>
      <c r="B14" s="42" t="s">
        <v>933</v>
      </c>
      <c r="C14" s="42" t="s">
        <v>16</v>
      </c>
      <c r="D14">
        <v>24367627</v>
      </c>
      <c r="E14" s="42" t="s">
        <v>934</v>
      </c>
      <c r="F14" s="42" t="s">
        <v>651</v>
      </c>
      <c r="G14">
        <v>0</v>
      </c>
      <c r="H14" s="42" t="s">
        <v>13</v>
      </c>
      <c r="I14">
        <v>27.95</v>
      </c>
      <c r="J14" s="42" t="s">
        <v>14</v>
      </c>
      <c r="K14" s="42" t="s">
        <v>877</v>
      </c>
      <c r="L14" s="10">
        <v>45903</v>
      </c>
      <c r="M14" s="42" t="s">
        <v>19</v>
      </c>
      <c r="N14" s="42" t="str">
        <f>+INDEX(COMSY!F:F,MATCH(INSERITO_KIM[[#This Row],[Codice Comsy Tecnico Attuale]],COMSY!E:E,0))</f>
        <v>DOPPIO CLICK INFORMATICA</v>
      </c>
      <c r="O14" s="42" t="str">
        <f>+INDEX(COMSY!G:G,MATCH(INSERITO_KIM[[#This Row],[Codice Comsy Tecnico Attuale]],COMSY!E:E,0))</f>
        <v>Luigi</v>
      </c>
      <c r="P14" s="42" t="str">
        <f>+INDEX(PIANI!B:B,MATCH(INSERITO_KIM[[#This Row],[Valore]],PIANI!A:A,0))</f>
        <v>FISSO</v>
      </c>
      <c r="Q14" s="42">
        <f>+INDEX(PIANI!D:D,MATCH(INSERITO_KIM[[#This Row],[Valore]],PIANI!A:A,0))</f>
        <v>0</v>
      </c>
    </row>
    <row r="15" spans="1:17" x14ac:dyDescent="0.3">
      <c r="A15" s="42" t="s">
        <v>1128</v>
      </c>
      <c r="B15" s="42" t="s">
        <v>1129</v>
      </c>
      <c r="C15" s="42" t="s">
        <v>16</v>
      </c>
      <c r="D15">
        <v>24379477</v>
      </c>
      <c r="E15" s="42" t="s">
        <v>1130</v>
      </c>
      <c r="F15" s="42" t="s">
        <v>65</v>
      </c>
      <c r="G15">
        <v>20</v>
      </c>
      <c r="H15" s="42" t="s">
        <v>700</v>
      </c>
      <c r="I15">
        <v>33.9</v>
      </c>
      <c r="J15" s="42" t="s">
        <v>14</v>
      </c>
      <c r="K15" s="42" t="s">
        <v>877</v>
      </c>
      <c r="L15" s="10">
        <v>45908</v>
      </c>
      <c r="M15" s="42" t="s">
        <v>19</v>
      </c>
      <c r="N15" s="42" t="str">
        <f>+INDEX(COMSY!F:F,MATCH(INSERITO_KIM[[#This Row],[Codice Comsy Tecnico Attuale]],COMSY!E:E,0))</f>
        <v xml:space="preserve">S.O.S. SMARTPHONE DI GERARDO </v>
      </c>
      <c r="O15" s="42" t="str">
        <f>+INDEX(COMSY!G:G,MATCH(INSERITO_KIM[[#This Row],[Codice Comsy Tecnico Attuale]],COMSY!E:E,0))</f>
        <v>Giacomo</v>
      </c>
      <c r="P15" s="42" t="str">
        <f>+INDEX(PIANI!B:B,MATCH(INSERITO_KIM[[#This Row],[Valore]],PIANI!A:A,0))</f>
        <v>FISSO</v>
      </c>
      <c r="Q15" s="42">
        <f>+INDEX(PIANI!D:D,MATCH(INSERITO_KIM[[#This Row],[Valore]],PIANI!A:A,0))</f>
        <v>0</v>
      </c>
    </row>
    <row r="16" spans="1:17" x14ac:dyDescent="0.3">
      <c r="A16" s="42" t="s">
        <v>1355</v>
      </c>
      <c r="B16" s="42" t="s">
        <v>1356</v>
      </c>
      <c r="C16" s="42" t="s">
        <v>16</v>
      </c>
      <c r="D16">
        <v>24393876</v>
      </c>
      <c r="E16" s="42" t="s">
        <v>1357</v>
      </c>
      <c r="F16" s="42" t="s">
        <v>381</v>
      </c>
      <c r="G16">
        <v>20</v>
      </c>
      <c r="H16" s="42" t="s">
        <v>700</v>
      </c>
      <c r="I16">
        <v>33.9</v>
      </c>
      <c r="J16" s="42" t="s">
        <v>14</v>
      </c>
      <c r="K16" s="42" t="s">
        <v>877</v>
      </c>
      <c r="L16" s="10">
        <v>45913</v>
      </c>
      <c r="M16" s="42" t="s">
        <v>19</v>
      </c>
      <c r="N16" s="42" t="str">
        <f>+INDEX(COMSY!F:F,MATCH(INSERITO_KIM[[#This Row],[Codice Comsy Tecnico Attuale]],COMSY!E:E,0))</f>
        <v>MEDIA DREAMS DI MARCOVECCHIO ANTONLUCA</v>
      </c>
      <c r="O16" s="42" t="str">
        <f>+INDEX(COMSY!G:G,MATCH(INSERITO_KIM[[#This Row],[Codice Comsy Tecnico Attuale]],COMSY!E:E,0))</f>
        <v>Giacomo</v>
      </c>
      <c r="P16" s="42" t="str">
        <f>+INDEX(PIANI!B:B,MATCH(INSERITO_KIM[[#This Row],[Valore]],PIANI!A:A,0))</f>
        <v>FISSO</v>
      </c>
      <c r="Q16" s="42">
        <f>+INDEX(PIANI!D:D,MATCH(INSERITO_KIM[[#This Row],[Valore]],PIANI!A:A,0))</f>
        <v>0</v>
      </c>
    </row>
    <row r="17" spans="1:17" x14ac:dyDescent="0.3">
      <c r="A17" s="42" t="s">
        <v>1358</v>
      </c>
      <c r="B17" s="42" t="s">
        <v>1359</v>
      </c>
      <c r="C17" s="42" t="s">
        <v>16</v>
      </c>
      <c r="D17">
        <v>9224979</v>
      </c>
      <c r="E17" s="42" t="s">
        <v>1360</v>
      </c>
      <c r="F17" s="42" t="s">
        <v>87</v>
      </c>
      <c r="G17">
        <v>0</v>
      </c>
      <c r="H17" s="42" t="s">
        <v>13</v>
      </c>
      <c r="I17">
        <v>23.95</v>
      </c>
      <c r="J17" s="42" t="s">
        <v>14</v>
      </c>
      <c r="K17" s="42" t="s">
        <v>877</v>
      </c>
      <c r="L17" s="10">
        <v>45913</v>
      </c>
      <c r="M17" s="42" t="s">
        <v>19</v>
      </c>
      <c r="N17" s="42" t="str">
        <f>+INDEX(COMSY!F:F,MATCH(INSERITO_KIM[[#This Row],[Codice Comsy Tecnico Attuale]],COMSY!E:E,0))</f>
        <v>IN RETE DI GIACOMO LEO</v>
      </c>
      <c r="O17" s="42" t="str">
        <f>+INDEX(COMSY!G:G,MATCH(INSERITO_KIM[[#This Row],[Codice Comsy Tecnico Attuale]],COMSY!E:E,0))</f>
        <v>Raffaele</v>
      </c>
      <c r="P17" s="42" t="str">
        <f>+INDEX(PIANI!B:B,MATCH(INSERITO_KIM[[#This Row],[Valore]],PIANI!A:A,0))</f>
        <v>FISSO</v>
      </c>
      <c r="Q17" s="42">
        <f>+INDEX(PIANI!D:D,MATCH(INSERITO_KIM[[#This Row],[Valore]],PIANI!A:A,0))</f>
        <v>0</v>
      </c>
    </row>
    <row r="18" spans="1:17" x14ac:dyDescent="0.3">
      <c r="A18" s="42" t="s">
        <v>1131</v>
      </c>
      <c r="B18" s="42" t="s">
        <v>1132</v>
      </c>
      <c r="C18" s="42" t="s">
        <v>16</v>
      </c>
      <c r="D18">
        <v>24377811</v>
      </c>
      <c r="E18" s="42" t="s">
        <v>1133</v>
      </c>
      <c r="F18" s="42" t="s">
        <v>110</v>
      </c>
      <c r="G18">
        <v>0</v>
      </c>
      <c r="H18" s="42" t="s">
        <v>13</v>
      </c>
      <c r="I18">
        <v>27.95</v>
      </c>
      <c r="J18" s="42" t="s">
        <v>14</v>
      </c>
      <c r="K18" s="42" t="s">
        <v>877</v>
      </c>
      <c r="L18" s="10">
        <v>45908</v>
      </c>
      <c r="M18" s="42" t="s">
        <v>19</v>
      </c>
      <c r="N18" s="42" t="str">
        <f>+INDEX(COMSY!F:F,MATCH(INSERITO_KIM[[#This Row],[Codice Comsy Tecnico Attuale]],COMSY!E:E,0))</f>
        <v xml:space="preserve">PC SYSTEM DI EMANUELE SERINELLI </v>
      </c>
      <c r="O18" s="42" t="str">
        <f>+INDEX(COMSY!G:G,MATCH(INSERITO_KIM[[#This Row],[Codice Comsy Tecnico Attuale]],COMSY!E:E,0))</f>
        <v>Raffaele</v>
      </c>
      <c r="P18" s="42" t="str">
        <f>+INDEX(PIANI!B:B,MATCH(INSERITO_KIM[[#This Row],[Valore]],PIANI!A:A,0))</f>
        <v>FISSO</v>
      </c>
      <c r="Q18" s="42">
        <f>+INDEX(PIANI!D:D,MATCH(INSERITO_KIM[[#This Row],[Valore]],PIANI!A:A,0))</f>
        <v>0</v>
      </c>
    </row>
    <row r="19" spans="1:17" x14ac:dyDescent="0.3">
      <c r="A19" s="42" t="s">
        <v>878</v>
      </c>
      <c r="B19" s="42" t="s">
        <v>879</v>
      </c>
      <c r="C19" s="42" t="s">
        <v>16</v>
      </c>
      <c r="D19">
        <v>24365938</v>
      </c>
      <c r="E19" s="42" t="s">
        <v>880</v>
      </c>
      <c r="F19" s="42" t="s">
        <v>633</v>
      </c>
      <c r="G19">
        <v>0</v>
      </c>
      <c r="H19" s="42" t="s">
        <v>13</v>
      </c>
      <c r="I19">
        <v>27.95</v>
      </c>
      <c r="J19" s="42" t="s">
        <v>14</v>
      </c>
      <c r="K19" s="42" t="s">
        <v>877</v>
      </c>
      <c r="L19" s="10">
        <v>45902</v>
      </c>
      <c r="M19" s="42" t="s">
        <v>19</v>
      </c>
      <c r="N19" s="42" t="str">
        <f>+INDEX(COMSY!F:F,MATCH(INSERITO_KIM[[#This Row],[Codice Comsy Tecnico Attuale]],COMSY!E:E,0))</f>
        <v>RISOLTO LAB MONOPOLI</v>
      </c>
      <c r="O19" s="42" t="str">
        <f>+INDEX(COMSY!G:G,MATCH(INSERITO_KIM[[#This Row],[Codice Comsy Tecnico Attuale]],COMSY!E:E,0))</f>
        <v>Giacomo</v>
      </c>
      <c r="P19" s="42" t="str">
        <f>+INDEX(PIANI!B:B,MATCH(INSERITO_KIM[[#This Row],[Valore]],PIANI!A:A,0))</f>
        <v>FISSO</v>
      </c>
      <c r="Q19" s="42">
        <f>+INDEX(PIANI!D:D,MATCH(INSERITO_KIM[[#This Row],[Valore]],PIANI!A:A,0))</f>
        <v>0</v>
      </c>
    </row>
    <row r="20" spans="1:17" x14ac:dyDescent="0.3">
      <c r="A20" s="42" t="s">
        <v>881</v>
      </c>
      <c r="B20" s="42" t="s">
        <v>882</v>
      </c>
      <c r="C20" s="42" t="s">
        <v>16</v>
      </c>
      <c r="D20">
        <v>24363952</v>
      </c>
      <c r="E20" s="42" t="s">
        <v>883</v>
      </c>
      <c r="F20" s="42" t="s">
        <v>722</v>
      </c>
      <c r="G20">
        <v>20</v>
      </c>
      <c r="H20" s="42" t="s">
        <v>700</v>
      </c>
      <c r="I20">
        <v>32.9</v>
      </c>
      <c r="J20" s="42" t="s">
        <v>14</v>
      </c>
      <c r="K20" s="42" t="s">
        <v>877</v>
      </c>
      <c r="L20" s="10">
        <v>45902</v>
      </c>
      <c r="M20" s="42" t="s">
        <v>19</v>
      </c>
      <c r="N20" s="42" t="str">
        <f>+INDEX(COMSY!F:F,MATCH(INSERITO_KIM[[#This Row],[Codice Comsy Tecnico Attuale]],COMSY!E:E,0))</f>
        <v>TECNOLOGIT DI D'ALESSANDRO FRANCESCO</v>
      </c>
      <c r="O20" s="42" t="str">
        <f>+INDEX(COMSY!G:G,MATCH(INSERITO_KIM[[#This Row],[Codice Comsy Tecnico Attuale]],COMSY!E:E,0))</f>
        <v>Giacomo</v>
      </c>
      <c r="P20" s="42" t="str">
        <f>+INDEX(PIANI!B:B,MATCH(INSERITO_KIM[[#This Row],[Valore]],PIANI!A:A,0))</f>
        <v>FISSO</v>
      </c>
      <c r="Q20" s="42">
        <f>+INDEX(PIANI!D:D,MATCH(INSERITO_KIM[[#This Row],[Valore]],PIANI!A:A,0))</f>
        <v>0</v>
      </c>
    </row>
    <row r="21" spans="1:17" x14ac:dyDescent="0.3">
      <c r="A21" s="42" t="s">
        <v>993</v>
      </c>
      <c r="B21" s="42" t="s">
        <v>994</v>
      </c>
      <c r="C21" s="42" t="s">
        <v>16</v>
      </c>
      <c r="D21">
        <v>24374624</v>
      </c>
      <c r="E21" s="42" t="s">
        <v>995</v>
      </c>
      <c r="F21" s="42" t="s">
        <v>751</v>
      </c>
      <c r="G21">
        <v>20</v>
      </c>
      <c r="H21" s="42" t="s">
        <v>700</v>
      </c>
      <c r="I21">
        <v>33.9</v>
      </c>
      <c r="J21" s="42" t="s">
        <v>14</v>
      </c>
      <c r="K21" s="42" t="s">
        <v>877</v>
      </c>
      <c r="L21" s="10">
        <v>45905</v>
      </c>
      <c r="M21" s="42" t="s">
        <v>19</v>
      </c>
      <c r="N21" s="42" t="str">
        <f>+INDEX(COMSY!F:F,MATCH(INSERITO_KIM[[#This Row],[Codice Comsy Tecnico Attuale]],COMSY!E:E,0))</f>
        <v>S.I.P.R.A. ITALIA SAS DI LASALVIA M. &amp; MONTERISI G.</v>
      </c>
      <c r="O21" s="42" t="str">
        <f>+INDEX(COMSY!G:G,MATCH(INSERITO_KIM[[#This Row],[Codice Comsy Tecnico Attuale]],COMSY!E:E,0))</f>
        <v>Luigi</v>
      </c>
      <c r="P21" s="42" t="str">
        <f>+INDEX(PIANI!B:B,MATCH(INSERITO_KIM[[#This Row],[Valore]],PIANI!A:A,0))</f>
        <v>FISSO</v>
      </c>
      <c r="Q21" s="42">
        <f>+INDEX(PIANI!D:D,MATCH(INSERITO_KIM[[#This Row],[Valore]],PIANI!A:A,0))</f>
        <v>0</v>
      </c>
    </row>
    <row r="22" spans="1:17" x14ac:dyDescent="0.3">
      <c r="A22" s="42" t="s">
        <v>884</v>
      </c>
      <c r="B22" s="42" t="s">
        <v>885</v>
      </c>
      <c r="C22" s="42" t="s">
        <v>16</v>
      </c>
      <c r="D22">
        <v>24363128</v>
      </c>
      <c r="E22" s="42" t="s">
        <v>886</v>
      </c>
      <c r="F22" s="42" t="s">
        <v>114</v>
      </c>
      <c r="G22">
        <v>20</v>
      </c>
      <c r="H22" s="42" t="s">
        <v>700</v>
      </c>
      <c r="I22">
        <v>32.9</v>
      </c>
      <c r="J22" s="42" t="s">
        <v>14</v>
      </c>
      <c r="K22" s="42" t="s">
        <v>877</v>
      </c>
      <c r="L22" s="10">
        <v>45902</v>
      </c>
      <c r="M22" s="42" t="s">
        <v>19</v>
      </c>
      <c r="N22" s="42" t="str">
        <f>+INDEX(COMSY!F:F,MATCH(INSERITO_KIM[[#This Row],[Codice Comsy Tecnico Attuale]],COMSY!E:E,0))</f>
        <v>MILILLO GIUSEPPE</v>
      </c>
      <c r="O22" s="42" t="str">
        <f>+INDEX(COMSY!G:G,MATCH(INSERITO_KIM[[#This Row],[Codice Comsy Tecnico Attuale]],COMSY!E:E,0))</f>
        <v>Giacomo</v>
      </c>
      <c r="P22" s="42" t="str">
        <f>+INDEX(PIANI!B:B,MATCH(INSERITO_KIM[[#This Row],[Valore]],PIANI!A:A,0))</f>
        <v>FISSO</v>
      </c>
      <c r="Q22" s="42">
        <f>+INDEX(PIANI!D:D,MATCH(INSERITO_KIM[[#This Row],[Valore]],PIANI!A:A,0))</f>
        <v>0</v>
      </c>
    </row>
    <row r="23" spans="1:17" x14ac:dyDescent="0.3">
      <c r="A23" s="42" t="s">
        <v>1176</v>
      </c>
      <c r="B23" s="42" t="s">
        <v>1177</v>
      </c>
      <c r="C23" s="42" t="s">
        <v>16</v>
      </c>
      <c r="D23">
        <v>24383523</v>
      </c>
      <c r="E23" s="42" t="s">
        <v>1178</v>
      </c>
      <c r="F23" s="42" t="s">
        <v>71</v>
      </c>
      <c r="G23">
        <v>20</v>
      </c>
      <c r="H23" s="42" t="s">
        <v>700</v>
      </c>
      <c r="I23">
        <v>33.9</v>
      </c>
      <c r="J23" s="42" t="s">
        <v>14</v>
      </c>
      <c r="K23" s="42" t="s">
        <v>877</v>
      </c>
      <c r="L23" s="10">
        <v>45909</v>
      </c>
      <c r="M23" s="42" t="s">
        <v>19</v>
      </c>
      <c r="N23" s="42" t="str">
        <f>+INDEX(COMSY!F:F,MATCH(INSERITO_KIM[[#This Row],[Codice Comsy Tecnico Attuale]],COMSY!E:E,0))</f>
        <v>PUNTOCOM DI BONITO MARIALUIGIA</v>
      </c>
      <c r="O23" s="42" t="str">
        <f>+INDEX(COMSY!G:G,MATCH(INSERITO_KIM[[#This Row],[Codice Comsy Tecnico Attuale]],COMSY!E:E,0))</f>
        <v>Giacomo</v>
      </c>
      <c r="P23" s="42" t="str">
        <f>+INDEX(PIANI!B:B,MATCH(INSERITO_KIM[[#This Row],[Valore]],PIANI!A:A,0))</f>
        <v>FISSO</v>
      </c>
      <c r="Q23" s="42">
        <f>+INDEX(PIANI!D:D,MATCH(INSERITO_KIM[[#This Row],[Valore]],PIANI!A:A,0))</f>
        <v>0</v>
      </c>
    </row>
    <row r="24" spans="1:17" x14ac:dyDescent="0.3">
      <c r="A24" s="42" t="s">
        <v>1134</v>
      </c>
      <c r="B24" s="42" t="s">
        <v>1135</v>
      </c>
      <c r="C24" s="42" t="s">
        <v>16</v>
      </c>
      <c r="D24">
        <v>24380059</v>
      </c>
      <c r="E24" s="42" t="s">
        <v>1136</v>
      </c>
      <c r="F24" s="42" t="s">
        <v>122</v>
      </c>
      <c r="G24">
        <v>0</v>
      </c>
      <c r="H24" s="42" t="s">
        <v>13</v>
      </c>
      <c r="I24">
        <v>27.95</v>
      </c>
      <c r="J24" s="42" t="s">
        <v>17</v>
      </c>
      <c r="K24" s="42" t="s">
        <v>17</v>
      </c>
      <c r="L24" s="10">
        <v>45908</v>
      </c>
      <c r="M24" s="42" t="s">
        <v>19</v>
      </c>
      <c r="N24" s="42" t="str">
        <f>+INDEX(COMSY!F:F,MATCH(INSERITO_KIM[[#This Row],[Codice Comsy Tecnico Attuale]],COMSY!E:E,0))</f>
        <v>PC CENTER DI LACAVA MASSIMO GIUSEPPE</v>
      </c>
      <c r="O24" s="42" t="str">
        <f>+INDEX(COMSY!G:G,MATCH(INSERITO_KIM[[#This Row],[Codice Comsy Tecnico Attuale]],COMSY!E:E,0))</f>
        <v>Armando</v>
      </c>
      <c r="P24" s="42" t="str">
        <f>+INDEX(PIANI!B:B,MATCH(INSERITO_KIM[[#This Row],[Valore]],PIANI!A:A,0))</f>
        <v>FISSO</v>
      </c>
      <c r="Q24" s="42">
        <f>+INDEX(PIANI!D:D,MATCH(INSERITO_KIM[[#This Row],[Valore]],PIANI!A:A,0))</f>
        <v>0</v>
      </c>
    </row>
    <row r="25" spans="1:17" x14ac:dyDescent="0.3">
      <c r="A25" s="42" t="s">
        <v>889</v>
      </c>
      <c r="B25" s="42" t="s">
        <v>890</v>
      </c>
      <c r="C25" s="42" t="s">
        <v>16</v>
      </c>
      <c r="D25">
        <v>24366313</v>
      </c>
      <c r="E25" s="42" t="s">
        <v>891</v>
      </c>
      <c r="F25" s="42" t="s">
        <v>88</v>
      </c>
      <c r="G25">
        <v>0</v>
      </c>
      <c r="H25" s="42" t="s">
        <v>13</v>
      </c>
      <c r="I25">
        <v>27.95</v>
      </c>
      <c r="J25" s="42" t="s">
        <v>14</v>
      </c>
      <c r="K25" s="42" t="s">
        <v>877</v>
      </c>
      <c r="L25" s="10">
        <v>45902</v>
      </c>
      <c r="M25" s="42" t="s">
        <v>19</v>
      </c>
      <c r="N25" s="42" t="str">
        <f>+INDEX(COMSY!F:F,MATCH(INSERITO_KIM[[#This Row],[Codice Comsy Tecnico Attuale]],COMSY!E:E,0))</f>
        <v>HDC REPAIR SERVICE DI FRANCAVILLA MICHELE</v>
      </c>
      <c r="O25" s="42" t="str">
        <f>+INDEX(COMSY!G:G,MATCH(INSERITO_KIM[[#This Row],[Codice Comsy Tecnico Attuale]],COMSY!E:E,0))</f>
        <v>Giacomo</v>
      </c>
      <c r="P25" s="42" t="str">
        <f>+INDEX(PIANI!B:B,MATCH(INSERITO_KIM[[#This Row],[Valore]],PIANI!A:A,0))</f>
        <v>FISSO</v>
      </c>
      <c r="Q25" s="42">
        <f>+INDEX(PIANI!D:D,MATCH(INSERITO_KIM[[#This Row],[Valore]],PIANI!A:A,0))</f>
        <v>0</v>
      </c>
    </row>
    <row r="26" spans="1:17" x14ac:dyDescent="0.3">
      <c r="A26" s="42" t="s">
        <v>892</v>
      </c>
      <c r="B26" s="42" t="s">
        <v>893</v>
      </c>
      <c r="C26" s="42" t="s">
        <v>16</v>
      </c>
      <c r="D26">
        <v>24363994</v>
      </c>
      <c r="E26" s="42" t="s">
        <v>894</v>
      </c>
      <c r="F26" s="42" t="s">
        <v>82</v>
      </c>
      <c r="G26">
        <v>0</v>
      </c>
      <c r="H26" s="42" t="s">
        <v>13</v>
      </c>
      <c r="I26">
        <v>27.95</v>
      </c>
      <c r="J26" s="42" t="s">
        <v>14</v>
      </c>
      <c r="K26" s="42" t="s">
        <v>877</v>
      </c>
      <c r="L26" s="10">
        <v>45902</v>
      </c>
      <c r="M26" s="42" t="s">
        <v>19</v>
      </c>
      <c r="N26" s="42" t="str">
        <f>+INDEX(COMSY!F:F,MATCH(INSERITO_KIM[[#This Row],[Codice Comsy Tecnico Attuale]],COMSY!E:E,0))</f>
        <v>BOXSTORE DI SAVINO</v>
      </c>
      <c r="O26" s="42" t="str">
        <f>+INDEX(COMSY!G:G,MATCH(INSERITO_KIM[[#This Row],[Codice Comsy Tecnico Attuale]],COMSY!E:E,0))</f>
        <v>Giacomo</v>
      </c>
      <c r="P26" s="42" t="str">
        <f>+INDEX(PIANI!B:B,MATCH(INSERITO_KIM[[#This Row],[Valore]],PIANI!A:A,0))</f>
        <v>FISSO</v>
      </c>
      <c r="Q26" s="42">
        <f>+INDEX(PIANI!D:D,MATCH(INSERITO_KIM[[#This Row],[Valore]],PIANI!A:A,0))</f>
        <v>0</v>
      </c>
    </row>
    <row r="27" spans="1:17" x14ac:dyDescent="0.3">
      <c r="A27" s="42" t="s">
        <v>1313</v>
      </c>
      <c r="B27" s="42" t="s">
        <v>1314</v>
      </c>
      <c r="C27" s="42" t="s">
        <v>16</v>
      </c>
      <c r="D27">
        <v>24393313</v>
      </c>
      <c r="E27" s="42" t="s">
        <v>1315</v>
      </c>
      <c r="F27" s="42" t="s">
        <v>433</v>
      </c>
      <c r="G27">
        <v>0</v>
      </c>
      <c r="H27" s="42" t="s">
        <v>13</v>
      </c>
      <c r="I27">
        <v>27.95</v>
      </c>
      <c r="J27" s="42" t="s">
        <v>14</v>
      </c>
      <c r="K27" s="42" t="s">
        <v>877</v>
      </c>
      <c r="L27" s="10">
        <v>45912</v>
      </c>
      <c r="M27" s="42" t="s">
        <v>19</v>
      </c>
      <c r="N27" s="42" t="str">
        <f>+INDEX(COMSY!F:F,MATCH(INSERITO_KIM[[#This Row],[Codice Comsy Tecnico Attuale]],COMSY!E:E,0))</f>
        <v>COMPUTER STORE DI BIANCO LUCA</v>
      </c>
      <c r="O27" s="42" t="str">
        <f>+INDEX(COMSY!G:G,MATCH(INSERITO_KIM[[#This Row],[Codice Comsy Tecnico Attuale]],COMSY!E:E,0))</f>
        <v>Raffaele</v>
      </c>
      <c r="P27" s="42" t="str">
        <f>+INDEX(PIANI!B:B,MATCH(INSERITO_KIM[[#This Row],[Valore]],PIANI!A:A,0))</f>
        <v>FISSO</v>
      </c>
      <c r="Q27" s="42">
        <f>+INDEX(PIANI!D:D,MATCH(INSERITO_KIM[[#This Row],[Valore]],PIANI!A:A,0))</f>
        <v>0</v>
      </c>
    </row>
    <row r="28" spans="1:17" x14ac:dyDescent="0.3">
      <c r="A28" s="42" t="s">
        <v>1361</v>
      </c>
      <c r="B28" s="42" t="s">
        <v>1362</v>
      </c>
      <c r="C28" s="42" t="s">
        <v>16</v>
      </c>
      <c r="D28">
        <v>24393996</v>
      </c>
      <c r="E28" s="42" t="s">
        <v>1363</v>
      </c>
      <c r="F28" s="42" t="s">
        <v>53</v>
      </c>
      <c r="G28">
        <v>0</v>
      </c>
      <c r="H28" s="42" t="s">
        <v>13</v>
      </c>
      <c r="I28">
        <v>27.95</v>
      </c>
      <c r="J28" s="42" t="s">
        <v>14</v>
      </c>
      <c r="K28" s="42" t="s">
        <v>780</v>
      </c>
      <c r="L28" s="10">
        <v>45913</v>
      </c>
      <c r="M28" s="42" t="s">
        <v>19</v>
      </c>
      <c r="N28" s="42" t="str">
        <f>+INDEX(COMSY!F:F,MATCH(INSERITO_KIM[[#This Row],[Codice Comsy Tecnico Attuale]],COMSY!E:E,0))</f>
        <v>COMUNICARE.IT</v>
      </c>
      <c r="O28" s="42" t="str">
        <f>+INDEX(COMSY!G:G,MATCH(INSERITO_KIM[[#This Row],[Codice Comsy Tecnico Attuale]],COMSY!E:E,0))</f>
        <v>Giacomo</v>
      </c>
      <c r="P28" s="42" t="str">
        <f>+INDEX(PIANI!B:B,MATCH(INSERITO_KIM[[#This Row],[Valore]],PIANI!A:A,0))</f>
        <v>FISSO</v>
      </c>
      <c r="Q28" s="42">
        <f>+INDEX(PIANI!D:D,MATCH(INSERITO_KIM[[#This Row],[Valore]],PIANI!A:A,0))</f>
        <v>0</v>
      </c>
    </row>
    <row r="29" spans="1:17" x14ac:dyDescent="0.3">
      <c r="A29" s="42" t="s">
        <v>1316</v>
      </c>
      <c r="B29" s="42" t="s">
        <v>1317</v>
      </c>
      <c r="C29" s="42" t="s">
        <v>16</v>
      </c>
      <c r="D29">
        <v>24218612</v>
      </c>
      <c r="E29" s="42" t="s">
        <v>1318</v>
      </c>
      <c r="F29" s="42" t="s">
        <v>613</v>
      </c>
      <c r="G29">
        <v>0</v>
      </c>
      <c r="H29" s="42" t="s">
        <v>13</v>
      </c>
      <c r="I29">
        <v>23.95</v>
      </c>
      <c r="J29" s="42" t="s">
        <v>14</v>
      </c>
      <c r="K29" s="42" t="s">
        <v>780</v>
      </c>
      <c r="L29" s="10">
        <v>45912</v>
      </c>
      <c r="M29" s="42" t="s">
        <v>19</v>
      </c>
      <c r="N29" s="42" t="str">
        <f>+INDEX(COMSY!F:F,MATCH(INSERITO_KIM[[#This Row],[Codice Comsy Tecnico Attuale]],COMSY!E:E,0))</f>
        <v>ARTE FOTO SAS DI MARISA COLUCCELLI &amp; C.</v>
      </c>
      <c r="O29" s="42" t="str">
        <f>+INDEX(COMSY!G:G,MATCH(INSERITO_KIM[[#This Row],[Codice Comsy Tecnico Attuale]],COMSY!E:E,0))</f>
        <v>Luigi</v>
      </c>
      <c r="P29" s="42" t="str">
        <f>+INDEX(PIANI!B:B,MATCH(INSERITO_KIM[[#This Row],[Valore]],PIANI!A:A,0))</f>
        <v>FISSO</v>
      </c>
      <c r="Q29" s="42">
        <f>+INDEX(PIANI!D:D,MATCH(INSERITO_KIM[[#This Row],[Valore]],PIANI!A:A,0))</f>
        <v>0</v>
      </c>
    </row>
    <row r="30" spans="1:17" x14ac:dyDescent="0.3">
      <c r="A30" s="42" t="s">
        <v>1137</v>
      </c>
      <c r="B30" s="42" t="s">
        <v>1138</v>
      </c>
      <c r="C30" s="42" t="s">
        <v>16</v>
      </c>
      <c r="D30">
        <v>24379123</v>
      </c>
      <c r="E30" s="42" t="s">
        <v>1139</v>
      </c>
      <c r="F30" s="42" t="s">
        <v>719</v>
      </c>
      <c r="G30">
        <v>0</v>
      </c>
      <c r="H30" s="42" t="s">
        <v>13</v>
      </c>
      <c r="I30">
        <v>27.95</v>
      </c>
      <c r="J30" s="42" t="s">
        <v>17</v>
      </c>
      <c r="K30" s="42" t="s">
        <v>17</v>
      </c>
      <c r="L30" s="10">
        <v>45908</v>
      </c>
      <c r="M30" s="42" t="s">
        <v>19</v>
      </c>
      <c r="N30" s="42" t="str">
        <f>+INDEX(COMSY!F:F,MATCH(INSERITO_KIM[[#This Row],[Codice Comsy Tecnico Attuale]],COMSY!E:E,0))</f>
        <v>RENEWED S.R.L.</v>
      </c>
      <c r="O30" s="42" t="str">
        <f>+INDEX(COMSY!G:G,MATCH(INSERITO_KIM[[#This Row],[Codice Comsy Tecnico Attuale]],COMSY!E:E,0))</f>
        <v>Giacomo</v>
      </c>
      <c r="P30" s="42" t="str">
        <f>+INDEX(PIANI!B:B,MATCH(INSERITO_KIM[[#This Row],[Valore]],PIANI!A:A,0))</f>
        <v>FISSO</v>
      </c>
      <c r="Q30" s="42">
        <f>+INDEX(PIANI!D:D,MATCH(INSERITO_KIM[[#This Row],[Valore]],PIANI!A:A,0))</f>
        <v>0</v>
      </c>
    </row>
    <row r="31" spans="1:17" x14ac:dyDescent="0.3">
      <c r="A31" s="42" t="s">
        <v>1319</v>
      </c>
      <c r="B31" s="42" t="s">
        <v>1320</v>
      </c>
      <c r="C31" s="42" t="s">
        <v>16</v>
      </c>
      <c r="D31">
        <v>24390969</v>
      </c>
      <c r="E31" s="42" t="s">
        <v>1321</v>
      </c>
      <c r="F31" s="42" t="s">
        <v>751</v>
      </c>
      <c r="G31">
        <v>20</v>
      </c>
      <c r="H31" s="42" t="s">
        <v>700</v>
      </c>
      <c r="I31">
        <v>33.9</v>
      </c>
      <c r="J31" s="42" t="s">
        <v>14</v>
      </c>
      <c r="K31" s="42" t="s">
        <v>780</v>
      </c>
      <c r="L31" s="10">
        <v>45912</v>
      </c>
      <c r="M31" s="42" t="s">
        <v>19</v>
      </c>
      <c r="N31" s="42" t="str">
        <f>+INDEX(COMSY!F:F,MATCH(INSERITO_KIM[[#This Row],[Codice Comsy Tecnico Attuale]],COMSY!E:E,0))</f>
        <v>S.I.P.R.A. ITALIA SAS DI LASALVIA M. &amp; MONTERISI G.</v>
      </c>
      <c r="O31" s="42" t="str">
        <f>+INDEX(COMSY!G:G,MATCH(INSERITO_KIM[[#This Row],[Codice Comsy Tecnico Attuale]],COMSY!E:E,0))</f>
        <v>Luigi</v>
      </c>
      <c r="P31" s="42" t="str">
        <f>+INDEX(PIANI!B:B,MATCH(INSERITO_KIM[[#This Row],[Valore]],PIANI!A:A,0))</f>
        <v>FISSO</v>
      </c>
      <c r="Q31" s="42">
        <f>+INDEX(PIANI!D:D,MATCH(INSERITO_KIM[[#This Row],[Valore]],PIANI!A:A,0))</f>
        <v>0</v>
      </c>
    </row>
    <row r="32" spans="1:17" x14ac:dyDescent="0.3">
      <c r="A32" s="42" t="s">
        <v>823</v>
      </c>
      <c r="B32" s="42" t="s">
        <v>824</v>
      </c>
      <c r="C32" s="42" t="s">
        <v>16</v>
      </c>
      <c r="D32">
        <v>24361841</v>
      </c>
      <c r="E32" s="42" t="s">
        <v>825</v>
      </c>
      <c r="F32" s="42" t="s">
        <v>114</v>
      </c>
      <c r="G32">
        <v>20</v>
      </c>
      <c r="H32" s="42" t="s">
        <v>700</v>
      </c>
      <c r="I32">
        <v>32.9</v>
      </c>
      <c r="J32" s="42" t="s">
        <v>17</v>
      </c>
      <c r="K32" s="42" t="s">
        <v>17</v>
      </c>
      <c r="L32" s="10">
        <v>45901</v>
      </c>
      <c r="M32" s="42" t="s">
        <v>19</v>
      </c>
      <c r="N32" s="42" t="str">
        <f>+INDEX(COMSY!F:F,MATCH(INSERITO_KIM[[#This Row],[Codice Comsy Tecnico Attuale]],COMSY!E:E,0))</f>
        <v>MILILLO GIUSEPPE</v>
      </c>
      <c r="O32" s="42" t="str">
        <f>+INDEX(COMSY!G:G,MATCH(INSERITO_KIM[[#This Row],[Codice Comsy Tecnico Attuale]],COMSY!E:E,0))</f>
        <v>Giacomo</v>
      </c>
      <c r="P32" s="42" t="str">
        <f>+INDEX(PIANI!B:B,MATCH(INSERITO_KIM[[#This Row],[Valore]],PIANI!A:A,0))</f>
        <v>FISSO</v>
      </c>
      <c r="Q32" s="42">
        <f>+INDEX(PIANI!D:D,MATCH(INSERITO_KIM[[#This Row],[Valore]],PIANI!A:A,0))</f>
        <v>0</v>
      </c>
    </row>
    <row r="33" spans="1:17" x14ac:dyDescent="0.3">
      <c r="A33" s="42" t="s">
        <v>996</v>
      </c>
      <c r="B33" s="42" t="s">
        <v>997</v>
      </c>
      <c r="C33" s="42" t="s">
        <v>16</v>
      </c>
      <c r="D33">
        <v>24375276</v>
      </c>
      <c r="E33" s="42" t="s">
        <v>998</v>
      </c>
      <c r="F33" s="42" t="s">
        <v>62</v>
      </c>
      <c r="G33">
        <v>20</v>
      </c>
      <c r="H33" s="42" t="s">
        <v>700</v>
      </c>
      <c r="I33">
        <v>33.9</v>
      </c>
      <c r="J33" s="42" t="s">
        <v>17</v>
      </c>
      <c r="K33" s="42" t="s">
        <v>17</v>
      </c>
      <c r="L33" s="10">
        <v>45906</v>
      </c>
      <c r="M33" s="42" t="s">
        <v>19</v>
      </c>
      <c r="N33" s="42" t="str">
        <f>+INDEX(COMSY!F:F,MATCH(INSERITO_KIM[[#This Row],[Codice Comsy Tecnico Attuale]],COMSY!E:E,0))</f>
        <v xml:space="preserve">INFOPOINT DI DEL VECCHIO ROSA E CORTIGIANO CARMELA </v>
      </c>
      <c r="O33" s="42" t="str">
        <f>+INDEX(COMSY!G:G,MATCH(INSERITO_KIM[[#This Row],[Codice Comsy Tecnico Attuale]],COMSY!E:E,0))</f>
        <v>Giacomo</v>
      </c>
      <c r="P33" s="42" t="str">
        <f>+INDEX(PIANI!B:B,MATCH(INSERITO_KIM[[#This Row],[Valore]],PIANI!A:A,0))</f>
        <v>FISSO</v>
      </c>
      <c r="Q33" s="42">
        <f>+INDEX(PIANI!D:D,MATCH(INSERITO_KIM[[#This Row],[Valore]],PIANI!A:A,0))</f>
        <v>0</v>
      </c>
    </row>
    <row r="34" spans="1:17" x14ac:dyDescent="0.3">
      <c r="A34" s="42" t="s">
        <v>895</v>
      </c>
      <c r="B34" s="42" t="s">
        <v>896</v>
      </c>
      <c r="C34" s="42" t="s">
        <v>16</v>
      </c>
      <c r="D34">
        <v>24363941</v>
      </c>
      <c r="E34" s="42" t="s">
        <v>897</v>
      </c>
      <c r="F34" s="42" t="s">
        <v>664</v>
      </c>
      <c r="G34">
        <v>20</v>
      </c>
      <c r="H34" s="42" t="s">
        <v>700</v>
      </c>
      <c r="I34">
        <v>32.9</v>
      </c>
      <c r="J34" s="42" t="s">
        <v>14</v>
      </c>
      <c r="K34" s="42" t="s">
        <v>877</v>
      </c>
      <c r="L34" s="10">
        <v>45902</v>
      </c>
      <c r="M34" s="42" t="s">
        <v>19</v>
      </c>
      <c r="N34" s="42" t="str">
        <f>+INDEX(COMSY!F:F,MATCH(INSERITO_KIM[[#This Row],[Codice Comsy Tecnico Attuale]],COMSY!E:E,0))</f>
        <v>DECOM</v>
      </c>
      <c r="O34" s="42" t="str">
        <f>+INDEX(COMSY!G:G,MATCH(INSERITO_KIM[[#This Row],[Codice Comsy Tecnico Attuale]],COMSY!E:E,0))</f>
        <v>Giacomo</v>
      </c>
      <c r="P34" s="42" t="str">
        <f>+INDEX(PIANI!B:B,MATCH(INSERITO_KIM[[#This Row],[Valore]],PIANI!A:A,0))</f>
        <v>FISSO</v>
      </c>
      <c r="Q34" s="42">
        <f>+INDEX(PIANI!D:D,MATCH(INSERITO_KIM[[#This Row],[Valore]],PIANI!A:A,0))</f>
        <v>0</v>
      </c>
    </row>
    <row r="35" spans="1:17" x14ac:dyDescent="0.3">
      <c r="A35" s="42" t="s">
        <v>1213</v>
      </c>
      <c r="B35" s="42" t="s">
        <v>1214</v>
      </c>
      <c r="C35" s="42" t="s">
        <v>16</v>
      </c>
      <c r="D35">
        <v>24384052</v>
      </c>
      <c r="E35" s="42" t="s">
        <v>1215</v>
      </c>
      <c r="F35" s="42" t="s">
        <v>664</v>
      </c>
      <c r="G35">
        <v>40</v>
      </c>
      <c r="H35" s="42" t="s">
        <v>700</v>
      </c>
      <c r="I35">
        <v>43.85</v>
      </c>
      <c r="J35" s="42" t="s">
        <v>14</v>
      </c>
      <c r="K35" s="42" t="s">
        <v>1118</v>
      </c>
      <c r="L35" s="10">
        <v>45910</v>
      </c>
      <c r="M35" s="42" t="s">
        <v>19</v>
      </c>
      <c r="N35" s="42" t="str">
        <f>+INDEX(COMSY!F:F,MATCH(INSERITO_KIM[[#This Row],[Codice Comsy Tecnico Attuale]],COMSY!E:E,0))</f>
        <v>DECOM</v>
      </c>
      <c r="O35" s="42" t="str">
        <f>+INDEX(COMSY!G:G,MATCH(INSERITO_KIM[[#This Row],[Codice Comsy Tecnico Attuale]],COMSY!E:E,0))</f>
        <v>Giacomo</v>
      </c>
      <c r="P35" s="42" t="str">
        <f>+INDEX(PIANI!B:B,MATCH(INSERITO_KIM[[#This Row],[Valore]],PIANI!A:A,0))</f>
        <v>FISSO</v>
      </c>
      <c r="Q35" s="42">
        <f>+INDEX(PIANI!D:D,MATCH(INSERITO_KIM[[#This Row],[Valore]],PIANI!A:A,0))</f>
        <v>0</v>
      </c>
    </row>
    <row r="36" spans="1:17" x14ac:dyDescent="0.3">
      <c r="A36" s="42" t="s">
        <v>999</v>
      </c>
      <c r="B36" s="42" t="s">
        <v>1000</v>
      </c>
      <c r="C36" s="42" t="s">
        <v>16</v>
      </c>
      <c r="D36">
        <v>24372299</v>
      </c>
      <c r="E36" s="42" t="s">
        <v>1001</v>
      </c>
      <c r="F36" s="42" t="s">
        <v>713</v>
      </c>
      <c r="G36">
        <v>0</v>
      </c>
      <c r="H36" s="42" t="s">
        <v>13</v>
      </c>
      <c r="I36">
        <v>27.95</v>
      </c>
      <c r="J36" s="42" t="s">
        <v>17</v>
      </c>
      <c r="K36" s="42" t="s">
        <v>17</v>
      </c>
      <c r="L36" s="10">
        <v>45904</v>
      </c>
      <c r="M36" s="42" t="s">
        <v>19</v>
      </c>
      <c r="N36" s="42" t="str">
        <f>+INDEX(COMSY!F:F,MATCH(INSERITO_KIM[[#This Row],[Codice Comsy Tecnico Attuale]],COMSY!E:E,0))</f>
        <v>MONDO TELEFONO 2.0 DI BORRINO GIANPIERO</v>
      </c>
      <c r="O36" s="42" t="str">
        <f>+INDEX(COMSY!G:G,MATCH(INSERITO_KIM[[#This Row],[Codice Comsy Tecnico Attuale]],COMSY!E:E,0))</f>
        <v>Giacomo</v>
      </c>
      <c r="P36" s="42" t="str">
        <f>+INDEX(PIANI!B:B,MATCH(INSERITO_KIM[[#This Row],[Valore]],PIANI!A:A,0))</f>
        <v>FISSO</v>
      </c>
      <c r="Q36" s="42">
        <f>+INDEX(PIANI!D:D,MATCH(INSERITO_KIM[[#This Row],[Valore]],PIANI!A:A,0))</f>
        <v>0</v>
      </c>
    </row>
    <row r="37" spans="1:17" x14ac:dyDescent="0.3">
      <c r="A37" s="42" t="s">
        <v>1140</v>
      </c>
      <c r="B37" s="42" t="s">
        <v>1141</v>
      </c>
      <c r="C37" s="42" t="s">
        <v>16</v>
      </c>
      <c r="D37">
        <v>24377421</v>
      </c>
      <c r="E37" s="42" t="s">
        <v>1142</v>
      </c>
      <c r="F37" s="42" t="s">
        <v>719</v>
      </c>
      <c r="G37">
        <v>20</v>
      </c>
      <c r="H37" s="42" t="s">
        <v>700</v>
      </c>
      <c r="I37">
        <v>33.9</v>
      </c>
      <c r="J37" s="42" t="s">
        <v>14</v>
      </c>
      <c r="K37" s="42" t="s">
        <v>877</v>
      </c>
      <c r="L37" s="10">
        <v>45908</v>
      </c>
      <c r="M37" s="42" t="s">
        <v>19</v>
      </c>
      <c r="N37" s="42" t="str">
        <f>+INDEX(COMSY!F:F,MATCH(INSERITO_KIM[[#This Row],[Codice Comsy Tecnico Attuale]],COMSY!E:E,0))</f>
        <v>RENEWED S.R.L.</v>
      </c>
      <c r="O37" s="42" t="str">
        <f>+INDEX(COMSY!G:G,MATCH(INSERITO_KIM[[#This Row],[Codice Comsy Tecnico Attuale]],COMSY!E:E,0))</f>
        <v>Giacomo</v>
      </c>
      <c r="P37" s="42" t="str">
        <f>+INDEX(PIANI!B:B,MATCH(INSERITO_KIM[[#This Row],[Valore]],PIANI!A:A,0))</f>
        <v>FISSO</v>
      </c>
      <c r="Q37" s="42">
        <f>+INDEX(PIANI!D:D,MATCH(INSERITO_KIM[[#This Row],[Valore]],PIANI!A:A,0))</f>
        <v>0</v>
      </c>
    </row>
    <row r="38" spans="1:17" x14ac:dyDescent="0.3">
      <c r="A38" s="42" t="s">
        <v>1256</v>
      </c>
      <c r="B38" s="42" t="s">
        <v>1257</v>
      </c>
      <c r="C38" s="42" t="s">
        <v>16</v>
      </c>
      <c r="D38">
        <v>24390411</v>
      </c>
      <c r="E38" s="42" t="s">
        <v>1258</v>
      </c>
      <c r="F38" s="42" t="s">
        <v>751</v>
      </c>
      <c r="G38">
        <v>20</v>
      </c>
      <c r="H38" s="42" t="s">
        <v>700</v>
      </c>
      <c r="I38">
        <v>33.9</v>
      </c>
      <c r="J38" s="42" t="s">
        <v>14</v>
      </c>
      <c r="K38" s="42" t="s">
        <v>780</v>
      </c>
      <c r="L38" s="10">
        <v>45911</v>
      </c>
      <c r="M38" s="42" t="s">
        <v>19</v>
      </c>
      <c r="N38" s="42" t="str">
        <f>+INDEX(COMSY!F:F,MATCH(INSERITO_KIM[[#This Row],[Codice Comsy Tecnico Attuale]],COMSY!E:E,0))</f>
        <v>S.I.P.R.A. ITALIA SAS DI LASALVIA M. &amp; MONTERISI G.</v>
      </c>
      <c r="O38" s="42" t="str">
        <f>+INDEX(COMSY!G:G,MATCH(INSERITO_KIM[[#This Row],[Codice Comsy Tecnico Attuale]],COMSY!E:E,0))</f>
        <v>Luigi</v>
      </c>
      <c r="P38" s="42" t="str">
        <f>+INDEX(PIANI!B:B,MATCH(INSERITO_KIM[[#This Row],[Valore]],PIANI!A:A,0))</f>
        <v>FISSO</v>
      </c>
      <c r="Q38" s="42">
        <f>+INDEX(PIANI!D:D,MATCH(INSERITO_KIM[[#This Row],[Valore]],PIANI!A:A,0))</f>
        <v>0</v>
      </c>
    </row>
    <row r="39" spans="1:17" x14ac:dyDescent="0.3">
      <c r="A39" s="42" t="s">
        <v>1002</v>
      </c>
      <c r="B39" s="42" t="s">
        <v>1003</v>
      </c>
      <c r="C39" s="42" t="s">
        <v>16</v>
      </c>
      <c r="D39">
        <v>24374648</v>
      </c>
      <c r="E39" s="42" t="s">
        <v>1004</v>
      </c>
      <c r="F39" s="42" t="s">
        <v>62</v>
      </c>
      <c r="G39">
        <v>0</v>
      </c>
      <c r="H39" s="42" t="s">
        <v>13</v>
      </c>
      <c r="I39">
        <v>27.95</v>
      </c>
      <c r="J39" s="42" t="s">
        <v>14</v>
      </c>
      <c r="K39" s="42" t="s">
        <v>1118</v>
      </c>
      <c r="L39" s="10">
        <v>45905</v>
      </c>
      <c r="M39" s="42" t="s">
        <v>19</v>
      </c>
      <c r="N39" s="42" t="str">
        <f>+INDEX(COMSY!F:F,MATCH(INSERITO_KIM[[#This Row],[Codice Comsy Tecnico Attuale]],COMSY!E:E,0))</f>
        <v xml:space="preserve">INFOPOINT DI DEL VECCHIO ROSA E CORTIGIANO CARMELA </v>
      </c>
      <c r="O39" s="42" t="str">
        <f>+INDEX(COMSY!G:G,MATCH(INSERITO_KIM[[#This Row],[Codice Comsy Tecnico Attuale]],COMSY!E:E,0))</f>
        <v>Giacomo</v>
      </c>
      <c r="P39" s="42" t="str">
        <f>+INDEX(PIANI!B:B,MATCH(INSERITO_KIM[[#This Row],[Valore]],PIANI!A:A,0))</f>
        <v>FISSO</v>
      </c>
      <c r="Q39" s="42">
        <f>+INDEX(PIANI!D:D,MATCH(INSERITO_KIM[[#This Row],[Valore]],PIANI!A:A,0))</f>
        <v>0</v>
      </c>
    </row>
    <row r="40" spans="1:17" x14ac:dyDescent="0.3">
      <c r="A40" s="42" t="s">
        <v>898</v>
      </c>
      <c r="B40" s="42" t="s">
        <v>899</v>
      </c>
      <c r="C40" s="42" t="s">
        <v>16</v>
      </c>
      <c r="D40">
        <v>24364412</v>
      </c>
      <c r="E40" s="42" t="s">
        <v>900</v>
      </c>
      <c r="F40" s="42" t="s">
        <v>82</v>
      </c>
      <c r="G40">
        <v>0</v>
      </c>
      <c r="H40" s="42" t="s">
        <v>13</v>
      </c>
      <c r="I40">
        <v>27.95</v>
      </c>
      <c r="J40" s="42" t="s">
        <v>14</v>
      </c>
      <c r="K40" s="42" t="s">
        <v>877</v>
      </c>
      <c r="L40" s="10">
        <v>45902</v>
      </c>
      <c r="M40" s="42" t="s">
        <v>19</v>
      </c>
      <c r="N40" s="42" t="str">
        <f>+INDEX(COMSY!F:F,MATCH(INSERITO_KIM[[#This Row],[Codice Comsy Tecnico Attuale]],COMSY!E:E,0))</f>
        <v>BOXSTORE DI SAVINO</v>
      </c>
      <c r="O40" s="42" t="str">
        <f>+INDEX(COMSY!G:G,MATCH(INSERITO_KIM[[#This Row],[Codice Comsy Tecnico Attuale]],COMSY!E:E,0))</f>
        <v>Giacomo</v>
      </c>
      <c r="P40" s="42" t="str">
        <f>+INDEX(PIANI!B:B,MATCH(INSERITO_KIM[[#This Row],[Valore]],PIANI!A:A,0))</f>
        <v>FISSO</v>
      </c>
      <c r="Q40" s="42">
        <f>+INDEX(PIANI!D:D,MATCH(INSERITO_KIM[[#This Row],[Valore]],PIANI!A:A,0))</f>
        <v>0</v>
      </c>
    </row>
    <row r="41" spans="1:17" x14ac:dyDescent="0.3">
      <c r="A41" s="42" t="s">
        <v>1364</v>
      </c>
      <c r="B41" s="42" t="s">
        <v>1365</v>
      </c>
      <c r="C41" s="42" t="s">
        <v>16</v>
      </c>
      <c r="D41">
        <v>24394372</v>
      </c>
      <c r="E41" s="42" t="s">
        <v>1366</v>
      </c>
      <c r="F41" s="42" t="s">
        <v>433</v>
      </c>
      <c r="G41">
        <v>0</v>
      </c>
      <c r="H41" s="42" t="s">
        <v>13</v>
      </c>
      <c r="I41">
        <v>27.95</v>
      </c>
      <c r="J41" s="42" t="s">
        <v>14</v>
      </c>
      <c r="K41" s="42" t="s">
        <v>780</v>
      </c>
      <c r="L41" s="10">
        <v>45913</v>
      </c>
      <c r="M41" s="42" t="s">
        <v>19</v>
      </c>
      <c r="N41" s="42" t="str">
        <f>+INDEX(COMSY!F:F,MATCH(INSERITO_KIM[[#This Row],[Codice Comsy Tecnico Attuale]],COMSY!E:E,0))</f>
        <v>COMPUTER STORE DI BIANCO LUCA</v>
      </c>
      <c r="O41" s="42" t="str">
        <f>+INDEX(COMSY!G:G,MATCH(INSERITO_KIM[[#This Row],[Codice Comsy Tecnico Attuale]],COMSY!E:E,0))</f>
        <v>Raffaele</v>
      </c>
      <c r="P41" s="42" t="str">
        <f>+INDEX(PIANI!B:B,MATCH(INSERITO_KIM[[#This Row],[Valore]],PIANI!A:A,0))</f>
        <v>FISSO</v>
      </c>
      <c r="Q41" s="42">
        <f>+INDEX(PIANI!D:D,MATCH(INSERITO_KIM[[#This Row],[Valore]],PIANI!A:A,0))</f>
        <v>0</v>
      </c>
    </row>
    <row r="42" spans="1:17" x14ac:dyDescent="0.3">
      <c r="A42" s="42" t="s">
        <v>1005</v>
      </c>
      <c r="B42" s="42" t="s">
        <v>1006</v>
      </c>
      <c r="C42" s="42" t="s">
        <v>16</v>
      </c>
      <c r="D42">
        <v>24372689</v>
      </c>
      <c r="E42" s="42" t="s">
        <v>1007</v>
      </c>
      <c r="F42" s="42" t="s">
        <v>114</v>
      </c>
      <c r="G42">
        <v>0</v>
      </c>
      <c r="H42" s="42" t="s">
        <v>13</v>
      </c>
      <c r="I42">
        <v>27.95</v>
      </c>
      <c r="J42" s="42" t="s">
        <v>14</v>
      </c>
      <c r="K42" s="42" t="s">
        <v>877</v>
      </c>
      <c r="L42" s="10">
        <v>45905</v>
      </c>
      <c r="M42" s="42" t="s">
        <v>19</v>
      </c>
      <c r="N42" s="42" t="str">
        <f>+INDEX(COMSY!F:F,MATCH(INSERITO_KIM[[#This Row],[Codice Comsy Tecnico Attuale]],COMSY!E:E,0))</f>
        <v>MILILLO GIUSEPPE</v>
      </c>
      <c r="O42" s="42" t="str">
        <f>+INDEX(COMSY!G:G,MATCH(INSERITO_KIM[[#This Row],[Codice Comsy Tecnico Attuale]],COMSY!E:E,0))</f>
        <v>Giacomo</v>
      </c>
      <c r="P42" s="42" t="str">
        <f>+INDEX(PIANI!B:B,MATCH(INSERITO_KIM[[#This Row],[Valore]],PIANI!A:A,0))</f>
        <v>FISSO</v>
      </c>
      <c r="Q42" s="42">
        <f>+INDEX(PIANI!D:D,MATCH(INSERITO_KIM[[#This Row],[Valore]],PIANI!A:A,0))</f>
        <v>0</v>
      </c>
    </row>
    <row r="43" spans="1:17" x14ac:dyDescent="0.3">
      <c r="A43" s="42" t="s">
        <v>826</v>
      </c>
      <c r="B43" s="42" t="s">
        <v>827</v>
      </c>
      <c r="C43" s="42" t="s">
        <v>16</v>
      </c>
      <c r="D43">
        <v>24362141</v>
      </c>
      <c r="E43" s="42" t="s">
        <v>828</v>
      </c>
      <c r="F43" s="42" t="s">
        <v>64</v>
      </c>
      <c r="G43">
        <v>0</v>
      </c>
      <c r="H43" s="42" t="s">
        <v>13</v>
      </c>
      <c r="I43">
        <v>27.95</v>
      </c>
      <c r="J43" s="42" t="s">
        <v>14</v>
      </c>
      <c r="K43" s="42" t="s">
        <v>877</v>
      </c>
      <c r="L43" s="10">
        <v>45901</v>
      </c>
      <c r="M43" s="42" t="s">
        <v>19</v>
      </c>
      <c r="N43" s="42" t="str">
        <f>+INDEX(COMSY!F:F,MATCH(INSERITO_KIM[[#This Row],[Codice Comsy Tecnico Attuale]],COMSY!E:E,0))</f>
        <v>MEDIA CENTER DI LUCA BARBERIO</v>
      </c>
      <c r="O43" s="42" t="str">
        <f>+INDEX(COMSY!G:G,MATCH(INSERITO_KIM[[#This Row],[Codice Comsy Tecnico Attuale]],COMSY!E:E,0))</f>
        <v>Giacomo</v>
      </c>
      <c r="P43" s="42" t="str">
        <f>+INDEX(PIANI!B:B,MATCH(INSERITO_KIM[[#This Row],[Valore]],PIANI!A:A,0))</f>
        <v>FISSO</v>
      </c>
      <c r="Q43" s="42">
        <f>+INDEX(PIANI!D:D,MATCH(INSERITO_KIM[[#This Row],[Valore]],PIANI!A:A,0))</f>
        <v>0</v>
      </c>
    </row>
    <row r="44" spans="1:17" x14ac:dyDescent="0.3">
      <c r="A44" s="42" t="s">
        <v>935</v>
      </c>
      <c r="B44" s="42" t="s">
        <v>936</v>
      </c>
      <c r="C44" s="42" t="s">
        <v>16</v>
      </c>
      <c r="D44">
        <v>24366995</v>
      </c>
      <c r="E44" s="42" t="s">
        <v>937</v>
      </c>
      <c r="F44" s="42" t="s">
        <v>71</v>
      </c>
      <c r="G44">
        <v>20</v>
      </c>
      <c r="H44" s="42" t="s">
        <v>700</v>
      </c>
      <c r="I44">
        <v>32.9</v>
      </c>
      <c r="J44" s="42" t="s">
        <v>14</v>
      </c>
      <c r="K44" s="42" t="s">
        <v>877</v>
      </c>
      <c r="L44" s="10">
        <v>45903</v>
      </c>
      <c r="M44" s="42" t="s">
        <v>19</v>
      </c>
      <c r="N44" s="42" t="str">
        <f>+INDEX(COMSY!F:F,MATCH(INSERITO_KIM[[#This Row],[Codice Comsy Tecnico Attuale]],COMSY!E:E,0))</f>
        <v>PUNTOCOM DI BONITO MARIALUIGIA</v>
      </c>
      <c r="O44" s="42" t="str">
        <f>+INDEX(COMSY!G:G,MATCH(INSERITO_KIM[[#This Row],[Codice Comsy Tecnico Attuale]],COMSY!E:E,0))</f>
        <v>Giacomo</v>
      </c>
      <c r="P44" s="42" t="str">
        <f>+INDEX(PIANI!B:B,MATCH(INSERITO_KIM[[#This Row],[Valore]],PIANI!A:A,0))</f>
        <v>FISSO</v>
      </c>
      <c r="Q44" s="42">
        <f>+INDEX(PIANI!D:D,MATCH(INSERITO_KIM[[#This Row],[Valore]],PIANI!A:A,0))</f>
        <v>0</v>
      </c>
    </row>
    <row r="45" spans="1:17" x14ac:dyDescent="0.3">
      <c r="A45" s="42" t="s">
        <v>1367</v>
      </c>
      <c r="B45" s="42" t="s">
        <v>1368</v>
      </c>
      <c r="C45" s="42" t="s">
        <v>16</v>
      </c>
      <c r="D45">
        <v>24394467</v>
      </c>
      <c r="E45" s="42" t="s">
        <v>1369</v>
      </c>
      <c r="F45" s="42" t="s">
        <v>65</v>
      </c>
      <c r="G45">
        <v>0</v>
      </c>
      <c r="H45" s="42" t="s">
        <v>13</v>
      </c>
      <c r="I45">
        <v>27.95</v>
      </c>
      <c r="J45" s="42" t="s">
        <v>14</v>
      </c>
      <c r="K45" s="42" t="s">
        <v>877</v>
      </c>
      <c r="L45" s="10">
        <v>45913</v>
      </c>
      <c r="M45" s="42" t="s">
        <v>19</v>
      </c>
      <c r="N45" s="42" t="str">
        <f>+INDEX(COMSY!F:F,MATCH(INSERITO_KIM[[#This Row],[Codice Comsy Tecnico Attuale]],COMSY!E:E,0))</f>
        <v xml:space="preserve">S.O.S. SMARTPHONE DI GERARDO </v>
      </c>
      <c r="O45" s="42" t="str">
        <f>+INDEX(COMSY!G:G,MATCH(INSERITO_KIM[[#This Row],[Codice Comsy Tecnico Attuale]],COMSY!E:E,0))</f>
        <v>Giacomo</v>
      </c>
      <c r="P45" s="42" t="str">
        <f>+INDEX(PIANI!B:B,MATCH(INSERITO_KIM[[#This Row],[Valore]],PIANI!A:A,0))</f>
        <v>FISSO</v>
      </c>
      <c r="Q45" s="42">
        <f>+INDEX(PIANI!D:D,MATCH(INSERITO_KIM[[#This Row],[Valore]],PIANI!A:A,0))</f>
        <v>0</v>
      </c>
    </row>
    <row r="46" spans="1:17" x14ac:dyDescent="0.3">
      <c r="A46" s="42" t="s">
        <v>1216</v>
      </c>
      <c r="B46" s="42" t="s">
        <v>1217</v>
      </c>
      <c r="C46" s="42" t="s">
        <v>16</v>
      </c>
      <c r="D46">
        <v>24387134</v>
      </c>
      <c r="E46" s="42" t="s">
        <v>1218</v>
      </c>
      <c r="F46" s="42" t="s">
        <v>208</v>
      </c>
      <c r="G46">
        <v>20</v>
      </c>
      <c r="H46" s="42" t="s">
        <v>700</v>
      </c>
      <c r="I46">
        <v>33.9</v>
      </c>
      <c r="J46" s="42" t="s">
        <v>14</v>
      </c>
      <c r="K46" s="42" t="s">
        <v>780</v>
      </c>
      <c r="L46" s="10">
        <v>45910</v>
      </c>
      <c r="M46" s="42" t="s">
        <v>19</v>
      </c>
      <c r="N46" s="42" t="str">
        <f>+INDEX(COMSY!F:F,MATCH(INSERITO_KIM[[#This Row],[Codice Comsy Tecnico Attuale]],COMSY!E:E,0))</f>
        <v>ELECTROASSIST DI LABIENTE LAZZARO</v>
      </c>
      <c r="O46" s="42" t="str">
        <f>+INDEX(COMSY!G:G,MATCH(INSERITO_KIM[[#This Row],[Codice Comsy Tecnico Attuale]],COMSY!E:E,0))</f>
        <v>Luigi</v>
      </c>
      <c r="P46" s="42" t="str">
        <f>+INDEX(PIANI!B:B,MATCH(INSERITO_KIM[[#This Row],[Valore]],PIANI!A:A,0))</f>
        <v>FISSO</v>
      </c>
      <c r="Q46" s="42">
        <f>+INDEX(PIANI!D:D,MATCH(INSERITO_KIM[[#This Row],[Valore]],PIANI!A:A,0))</f>
        <v>0</v>
      </c>
    </row>
    <row r="47" spans="1:17" x14ac:dyDescent="0.3">
      <c r="A47" s="42" t="s">
        <v>1219</v>
      </c>
      <c r="B47" s="42" t="s">
        <v>1220</v>
      </c>
      <c r="C47" s="42" t="s">
        <v>16</v>
      </c>
      <c r="D47">
        <v>24387199</v>
      </c>
      <c r="E47" s="42" t="s">
        <v>1221</v>
      </c>
      <c r="F47" s="42" t="s">
        <v>471</v>
      </c>
      <c r="G47">
        <v>0</v>
      </c>
      <c r="H47" s="42" t="s">
        <v>13</v>
      </c>
      <c r="I47">
        <v>27.95</v>
      </c>
      <c r="J47" s="42" t="s">
        <v>14</v>
      </c>
      <c r="K47" s="42" t="s">
        <v>877</v>
      </c>
      <c r="L47" s="10">
        <v>45910</v>
      </c>
      <c r="M47" s="42" t="s">
        <v>19</v>
      </c>
      <c r="N47" s="42" t="str">
        <f>+INDEX(COMSY!F:F,MATCH(INSERITO_KIM[[#This Row],[Codice Comsy Tecnico Attuale]],COMSY!E:E,0))</f>
        <v>FIX&amp;PLAY DI DINICHILO GIUSEPPE</v>
      </c>
      <c r="O47" s="42" t="str">
        <f>+INDEX(COMSY!G:G,MATCH(INSERITO_KIM[[#This Row],[Codice Comsy Tecnico Attuale]],COMSY!E:E,0))</f>
        <v>Giacomo</v>
      </c>
      <c r="P47" s="42" t="str">
        <f>+INDEX(PIANI!B:B,MATCH(INSERITO_KIM[[#This Row],[Valore]],PIANI!A:A,0))</f>
        <v>FISSO</v>
      </c>
      <c r="Q47" s="42">
        <f>+INDEX(PIANI!D:D,MATCH(INSERITO_KIM[[#This Row],[Valore]],PIANI!A:A,0))</f>
        <v>0</v>
      </c>
    </row>
    <row r="48" spans="1:17" x14ac:dyDescent="0.3">
      <c r="A48" s="42" t="s">
        <v>829</v>
      </c>
      <c r="B48" s="42" t="s">
        <v>830</v>
      </c>
      <c r="C48" s="42" t="s">
        <v>16</v>
      </c>
      <c r="D48">
        <v>24362863</v>
      </c>
      <c r="E48" s="42" t="s">
        <v>831</v>
      </c>
      <c r="F48" s="42" t="s">
        <v>391</v>
      </c>
      <c r="G48">
        <v>0</v>
      </c>
      <c r="H48" s="42" t="s">
        <v>13</v>
      </c>
      <c r="I48">
        <v>27.95</v>
      </c>
      <c r="J48" s="42" t="s">
        <v>14</v>
      </c>
      <c r="K48" s="42" t="s">
        <v>877</v>
      </c>
      <c r="L48" s="10">
        <v>45901</v>
      </c>
      <c r="M48" s="42" t="s">
        <v>19</v>
      </c>
      <c r="N48" s="42" t="str">
        <f>+INDEX(COMSY!F:F,MATCH(INSERITO_KIM[[#This Row],[Codice Comsy Tecnico Attuale]],COMSY!E:E,0))</f>
        <v>MIKE'S PHONE DI TETRO MICHELE</v>
      </c>
      <c r="O48" s="42" t="str">
        <f>+INDEX(COMSY!G:G,MATCH(INSERITO_KIM[[#This Row],[Codice Comsy Tecnico Attuale]],COMSY!E:E,0))</f>
        <v>Giacomo</v>
      </c>
      <c r="P48" s="42" t="str">
        <f>+INDEX(PIANI!B:B,MATCH(INSERITO_KIM[[#This Row],[Valore]],PIANI!A:A,0))</f>
        <v>FISSO</v>
      </c>
      <c r="Q48" s="42">
        <f>+INDEX(PIANI!D:D,MATCH(INSERITO_KIM[[#This Row],[Valore]],PIANI!A:A,0))</f>
        <v>0</v>
      </c>
    </row>
    <row r="49" spans="1:17" x14ac:dyDescent="0.3">
      <c r="A49" s="42" t="s">
        <v>1179</v>
      </c>
      <c r="B49" s="42" t="s">
        <v>1180</v>
      </c>
      <c r="C49" s="42" t="s">
        <v>16</v>
      </c>
      <c r="D49">
        <v>24383659</v>
      </c>
      <c r="E49" s="42" t="s">
        <v>1181</v>
      </c>
      <c r="F49" s="42" t="s">
        <v>636</v>
      </c>
      <c r="G49">
        <v>0</v>
      </c>
      <c r="H49" s="42" t="s">
        <v>13</v>
      </c>
      <c r="I49">
        <v>27.95</v>
      </c>
      <c r="J49" s="42" t="s">
        <v>887</v>
      </c>
      <c r="K49" s="42" t="s">
        <v>888</v>
      </c>
      <c r="L49" s="10">
        <v>45909</v>
      </c>
      <c r="M49" s="42" t="s">
        <v>19</v>
      </c>
      <c r="N49" s="42" t="str">
        <f>+INDEX(COMSY!F:F,MATCH(INSERITO_KIM[[#This Row],[Codice Comsy Tecnico Attuale]],COMSY!E:E,0))</f>
        <v>REPAIR MOBILE STORE DI CARMINE PALMIERI</v>
      </c>
      <c r="O49" s="42" t="str">
        <f>+INDEX(COMSY!G:G,MATCH(INSERITO_KIM[[#This Row],[Codice Comsy Tecnico Attuale]],COMSY!E:E,0))</f>
        <v>Luigi</v>
      </c>
      <c r="P49" s="42" t="str">
        <f>+INDEX(PIANI!B:B,MATCH(INSERITO_KIM[[#This Row],[Valore]],PIANI!A:A,0))</f>
        <v>FISSO</v>
      </c>
      <c r="Q49" s="42">
        <f>+INDEX(PIANI!D:D,MATCH(INSERITO_KIM[[#This Row],[Valore]],PIANI!A:A,0))</f>
        <v>0</v>
      </c>
    </row>
    <row r="50" spans="1:17" x14ac:dyDescent="0.3">
      <c r="A50" s="42" t="s">
        <v>1008</v>
      </c>
      <c r="B50" s="42" t="s">
        <v>1009</v>
      </c>
      <c r="C50" s="42" t="s">
        <v>16</v>
      </c>
      <c r="D50">
        <v>24371964</v>
      </c>
      <c r="E50" s="42" t="s">
        <v>1010</v>
      </c>
      <c r="F50" s="42" t="s">
        <v>705</v>
      </c>
      <c r="G50">
        <v>0</v>
      </c>
      <c r="H50" s="42" t="s">
        <v>13</v>
      </c>
      <c r="I50">
        <v>27.95</v>
      </c>
      <c r="J50" s="42" t="s">
        <v>14</v>
      </c>
      <c r="K50" s="42" t="s">
        <v>780</v>
      </c>
      <c r="L50" s="10">
        <v>45904</v>
      </c>
      <c r="M50" s="42" t="s">
        <v>19</v>
      </c>
      <c r="N50" s="42" t="str">
        <f>+INDEX(COMSY!F:F,MATCH(INSERITO_KIM[[#This Row],[Codice Comsy Tecnico Attuale]],COMSY!E:E,0))</f>
        <v xml:space="preserve">ELETTRONIC CENTER DI TROISIO GIUSEPPE           </v>
      </c>
      <c r="O50" s="42" t="str">
        <f>+INDEX(COMSY!G:G,MATCH(INSERITO_KIM[[#This Row],[Codice Comsy Tecnico Attuale]],COMSY!E:E,0))</f>
        <v>Raffaele</v>
      </c>
      <c r="P50" s="42" t="str">
        <f>+INDEX(PIANI!B:B,MATCH(INSERITO_KIM[[#This Row],[Valore]],PIANI!A:A,0))</f>
        <v>FISSO</v>
      </c>
      <c r="Q50" s="42">
        <f>+INDEX(PIANI!D:D,MATCH(INSERITO_KIM[[#This Row],[Valore]],PIANI!A:A,0))</f>
        <v>0</v>
      </c>
    </row>
    <row r="51" spans="1:17" x14ac:dyDescent="0.3">
      <c r="A51" s="42" t="s">
        <v>1011</v>
      </c>
      <c r="B51" s="42" t="s">
        <v>1012</v>
      </c>
      <c r="C51" s="42" t="s">
        <v>16</v>
      </c>
      <c r="D51">
        <v>24374600</v>
      </c>
      <c r="E51" s="42" t="s">
        <v>1013</v>
      </c>
      <c r="F51" s="42" t="s">
        <v>751</v>
      </c>
      <c r="G51">
        <v>20</v>
      </c>
      <c r="H51" s="42" t="s">
        <v>700</v>
      </c>
      <c r="I51">
        <v>33.9</v>
      </c>
      <c r="J51" s="42" t="s">
        <v>14</v>
      </c>
      <c r="K51" s="42" t="s">
        <v>877</v>
      </c>
      <c r="L51" s="10">
        <v>45905</v>
      </c>
      <c r="M51" s="42" t="s">
        <v>19</v>
      </c>
      <c r="N51" s="42" t="str">
        <f>+INDEX(COMSY!F:F,MATCH(INSERITO_KIM[[#This Row],[Codice Comsy Tecnico Attuale]],COMSY!E:E,0))</f>
        <v>S.I.P.R.A. ITALIA SAS DI LASALVIA M. &amp; MONTERISI G.</v>
      </c>
      <c r="O51" s="42" t="str">
        <f>+INDEX(COMSY!G:G,MATCH(INSERITO_KIM[[#This Row],[Codice Comsy Tecnico Attuale]],COMSY!E:E,0))</f>
        <v>Luigi</v>
      </c>
      <c r="P51" s="42" t="str">
        <f>+INDEX(PIANI!B:B,MATCH(INSERITO_KIM[[#This Row],[Valore]],PIANI!A:A,0))</f>
        <v>FISSO</v>
      </c>
      <c r="Q51" s="42">
        <f>+INDEX(PIANI!D:D,MATCH(INSERITO_KIM[[#This Row],[Valore]],PIANI!A:A,0))</f>
        <v>0</v>
      </c>
    </row>
    <row r="52" spans="1:17" x14ac:dyDescent="0.3">
      <c r="A52" s="42" t="s">
        <v>1014</v>
      </c>
      <c r="B52" s="42" t="s">
        <v>1015</v>
      </c>
      <c r="C52" s="42" t="s">
        <v>16</v>
      </c>
      <c r="D52">
        <v>24375304</v>
      </c>
      <c r="E52" s="42" t="s">
        <v>1016</v>
      </c>
      <c r="F52" s="42" t="s">
        <v>114</v>
      </c>
      <c r="G52">
        <v>20</v>
      </c>
      <c r="H52" s="42" t="s">
        <v>700</v>
      </c>
      <c r="I52">
        <v>33.9</v>
      </c>
      <c r="J52" s="42" t="s">
        <v>17</v>
      </c>
      <c r="K52" s="42" t="s">
        <v>17</v>
      </c>
      <c r="L52" s="10">
        <v>45906</v>
      </c>
      <c r="M52" s="42" t="s">
        <v>19</v>
      </c>
      <c r="N52" s="42" t="str">
        <f>+INDEX(COMSY!F:F,MATCH(INSERITO_KIM[[#This Row],[Codice Comsy Tecnico Attuale]],COMSY!E:E,0))</f>
        <v>MILILLO GIUSEPPE</v>
      </c>
      <c r="O52" s="42" t="str">
        <f>+INDEX(COMSY!G:G,MATCH(INSERITO_KIM[[#This Row],[Codice Comsy Tecnico Attuale]],COMSY!E:E,0))</f>
        <v>Giacomo</v>
      </c>
      <c r="P52" s="42" t="str">
        <f>+INDEX(PIANI!B:B,MATCH(INSERITO_KIM[[#This Row],[Valore]],PIANI!A:A,0))</f>
        <v>FISSO</v>
      </c>
      <c r="Q52" s="42">
        <f>+INDEX(PIANI!D:D,MATCH(INSERITO_KIM[[#This Row],[Valore]],PIANI!A:A,0))</f>
        <v>0</v>
      </c>
    </row>
    <row r="53" spans="1:17" x14ac:dyDescent="0.3">
      <c r="A53" s="42" t="s">
        <v>1182</v>
      </c>
      <c r="B53" s="42" t="s">
        <v>1183</v>
      </c>
      <c r="C53" s="42" t="s">
        <v>16</v>
      </c>
      <c r="D53">
        <v>24383068</v>
      </c>
      <c r="E53" s="42" t="s">
        <v>1184</v>
      </c>
      <c r="F53" s="42" t="s">
        <v>114</v>
      </c>
      <c r="G53">
        <v>20</v>
      </c>
      <c r="H53" s="42" t="s">
        <v>700</v>
      </c>
      <c r="I53">
        <v>33.9</v>
      </c>
      <c r="J53" s="42" t="s">
        <v>14</v>
      </c>
      <c r="K53" s="42" t="s">
        <v>877</v>
      </c>
      <c r="L53" s="10">
        <v>45909</v>
      </c>
      <c r="M53" s="42" t="s">
        <v>19</v>
      </c>
      <c r="N53" s="42" t="str">
        <f>+INDEX(COMSY!F:F,MATCH(INSERITO_KIM[[#This Row],[Codice Comsy Tecnico Attuale]],COMSY!E:E,0))</f>
        <v>MILILLO GIUSEPPE</v>
      </c>
      <c r="O53" s="42" t="str">
        <f>+INDEX(COMSY!G:G,MATCH(INSERITO_KIM[[#This Row],[Codice Comsy Tecnico Attuale]],COMSY!E:E,0))</f>
        <v>Giacomo</v>
      </c>
      <c r="P53" s="42" t="str">
        <f>+INDEX(PIANI!B:B,MATCH(INSERITO_KIM[[#This Row],[Valore]],PIANI!A:A,0))</f>
        <v>FISSO</v>
      </c>
      <c r="Q53" s="42">
        <f>+INDEX(PIANI!D:D,MATCH(INSERITO_KIM[[#This Row],[Valore]],PIANI!A:A,0))</f>
        <v>0</v>
      </c>
    </row>
    <row r="54" spans="1:17" x14ac:dyDescent="0.3">
      <c r="A54" s="42" t="s">
        <v>1259</v>
      </c>
      <c r="B54" s="42" t="s">
        <v>1260</v>
      </c>
      <c r="C54" s="42" t="s">
        <v>16</v>
      </c>
      <c r="D54">
        <v>24390157</v>
      </c>
      <c r="E54" s="42" t="s">
        <v>1261</v>
      </c>
      <c r="F54" s="42" t="s">
        <v>367</v>
      </c>
      <c r="G54">
        <v>0</v>
      </c>
      <c r="H54" s="42" t="s">
        <v>13</v>
      </c>
      <c r="I54">
        <v>27.95</v>
      </c>
      <c r="J54" s="42" t="s">
        <v>14</v>
      </c>
      <c r="K54" s="42" t="s">
        <v>780</v>
      </c>
      <c r="L54" s="10">
        <v>45911</v>
      </c>
      <c r="M54" s="42" t="s">
        <v>19</v>
      </c>
      <c r="N54" s="42" t="str">
        <f>+INDEX(COMSY!F:F,MATCH(INSERITO_KIM[[#This Row],[Codice Comsy Tecnico Attuale]],COMSY!E:E,0))</f>
        <v>SMART BOX</v>
      </c>
      <c r="O54" s="42" t="str">
        <f>+INDEX(COMSY!G:G,MATCH(INSERITO_KIM[[#This Row],[Codice Comsy Tecnico Attuale]],COMSY!E:E,0))</f>
        <v>Luigi</v>
      </c>
      <c r="P54" s="42" t="str">
        <f>+INDEX(PIANI!B:B,MATCH(INSERITO_KIM[[#This Row],[Valore]],PIANI!A:A,0))</f>
        <v>FISSO</v>
      </c>
      <c r="Q54" s="42">
        <f>+INDEX(PIANI!D:D,MATCH(INSERITO_KIM[[#This Row],[Valore]],PIANI!A:A,0))</f>
        <v>0</v>
      </c>
    </row>
    <row r="55" spans="1:17" x14ac:dyDescent="0.3">
      <c r="A55" s="42" t="s">
        <v>938</v>
      </c>
      <c r="B55" s="42" t="s">
        <v>939</v>
      </c>
      <c r="C55" s="42" t="s">
        <v>16</v>
      </c>
      <c r="D55">
        <v>24369256</v>
      </c>
      <c r="E55" s="42" t="s">
        <v>940</v>
      </c>
      <c r="F55" s="42" t="s">
        <v>345</v>
      </c>
      <c r="G55">
        <v>20</v>
      </c>
      <c r="H55" s="42" t="s">
        <v>700</v>
      </c>
      <c r="I55">
        <v>32.9</v>
      </c>
      <c r="J55" s="42" t="s">
        <v>17</v>
      </c>
      <c r="K55" s="42" t="s">
        <v>17</v>
      </c>
      <c r="L55" s="10">
        <v>45903</v>
      </c>
      <c r="M55" s="42" t="s">
        <v>19</v>
      </c>
      <c r="N55" s="42" t="str">
        <f>+INDEX(COMSY!F:F,MATCH(INSERITO_KIM[[#This Row],[Codice Comsy Tecnico Attuale]],COMSY!E:E,0))</f>
        <v>BARBERINI</v>
      </c>
      <c r="O55" s="42" t="str">
        <f>+INDEX(COMSY!G:G,MATCH(INSERITO_KIM[[#This Row],[Codice Comsy Tecnico Attuale]],COMSY!E:E,0))</f>
        <v>Giacomo</v>
      </c>
      <c r="P55" s="42" t="str">
        <f>+INDEX(PIANI!B:B,MATCH(INSERITO_KIM[[#This Row],[Valore]],PIANI!A:A,0))</f>
        <v>FISSO</v>
      </c>
      <c r="Q55" s="42">
        <f>+INDEX(PIANI!D:D,MATCH(INSERITO_KIM[[#This Row],[Valore]],PIANI!A:A,0))</f>
        <v>0</v>
      </c>
    </row>
    <row r="56" spans="1:17" x14ac:dyDescent="0.3">
      <c r="A56" s="42" t="s">
        <v>901</v>
      </c>
      <c r="B56" s="42" t="s">
        <v>902</v>
      </c>
      <c r="C56" s="42" t="s">
        <v>16</v>
      </c>
      <c r="D56">
        <v>24366163</v>
      </c>
      <c r="E56" s="42" t="s">
        <v>903</v>
      </c>
      <c r="F56" s="42" t="s">
        <v>633</v>
      </c>
      <c r="G56">
        <v>20</v>
      </c>
      <c r="H56" s="42" t="s">
        <v>700</v>
      </c>
      <c r="I56">
        <v>32.9</v>
      </c>
      <c r="J56" s="42" t="s">
        <v>17</v>
      </c>
      <c r="K56" s="42" t="s">
        <v>17</v>
      </c>
      <c r="L56" s="10">
        <v>45902</v>
      </c>
      <c r="M56" s="42" t="s">
        <v>19</v>
      </c>
      <c r="N56" s="42" t="str">
        <f>+INDEX(COMSY!F:F,MATCH(INSERITO_KIM[[#This Row],[Codice Comsy Tecnico Attuale]],COMSY!E:E,0))</f>
        <v>RISOLTO LAB MONOPOLI</v>
      </c>
      <c r="O56" s="42" t="str">
        <f>+INDEX(COMSY!G:G,MATCH(INSERITO_KIM[[#This Row],[Codice Comsy Tecnico Attuale]],COMSY!E:E,0))</f>
        <v>Giacomo</v>
      </c>
      <c r="P56" s="42" t="str">
        <f>+INDEX(PIANI!B:B,MATCH(INSERITO_KIM[[#This Row],[Valore]],PIANI!A:A,0))</f>
        <v>FISSO</v>
      </c>
      <c r="Q56" s="42">
        <f>+INDEX(PIANI!D:D,MATCH(INSERITO_KIM[[#This Row],[Valore]],PIANI!A:A,0))</f>
        <v>0</v>
      </c>
    </row>
    <row r="57" spans="1:17" x14ac:dyDescent="0.3">
      <c r="A57" s="42" t="s">
        <v>1370</v>
      </c>
      <c r="B57" s="42" t="s">
        <v>1371</v>
      </c>
      <c r="C57" s="42" t="s">
        <v>16</v>
      </c>
      <c r="D57">
        <v>24394159</v>
      </c>
      <c r="E57" s="42" t="s">
        <v>1372</v>
      </c>
      <c r="F57" s="42" t="s">
        <v>633</v>
      </c>
      <c r="G57">
        <v>0</v>
      </c>
      <c r="H57" s="42" t="s">
        <v>13</v>
      </c>
      <c r="I57">
        <v>27.95</v>
      </c>
      <c r="J57" s="42" t="s">
        <v>14</v>
      </c>
      <c r="K57" s="42" t="s">
        <v>877</v>
      </c>
      <c r="L57" s="10">
        <v>45913</v>
      </c>
      <c r="M57" s="42" t="s">
        <v>19</v>
      </c>
      <c r="N57" s="42" t="str">
        <f>+INDEX(COMSY!F:F,MATCH(INSERITO_KIM[[#This Row],[Codice Comsy Tecnico Attuale]],COMSY!E:E,0))</f>
        <v>RISOLTO LAB MONOPOLI</v>
      </c>
      <c r="O57" s="42" t="str">
        <f>+INDEX(COMSY!G:G,MATCH(INSERITO_KIM[[#This Row],[Codice Comsy Tecnico Attuale]],COMSY!E:E,0))</f>
        <v>Giacomo</v>
      </c>
      <c r="P57" s="42" t="str">
        <f>+INDEX(PIANI!B:B,MATCH(INSERITO_KIM[[#This Row],[Valore]],PIANI!A:A,0))</f>
        <v>FISSO</v>
      </c>
      <c r="Q57" s="42">
        <f>+INDEX(PIANI!D:D,MATCH(INSERITO_KIM[[#This Row],[Valore]],PIANI!A:A,0))</f>
        <v>0</v>
      </c>
    </row>
    <row r="58" spans="1:17" x14ac:dyDescent="0.3">
      <c r="A58" s="42" t="s">
        <v>1143</v>
      </c>
      <c r="B58" s="42" t="s">
        <v>1144</v>
      </c>
      <c r="C58" s="42" t="s">
        <v>16</v>
      </c>
      <c r="D58">
        <v>24380092</v>
      </c>
      <c r="E58" s="42" t="s">
        <v>1145</v>
      </c>
      <c r="F58" s="42" t="s">
        <v>664</v>
      </c>
      <c r="G58">
        <v>20</v>
      </c>
      <c r="H58" s="42" t="s">
        <v>700</v>
      </c>
      <c r="I58">
        <v>33.9</v>
      </c>
      <c r="J58" s="42" t="s">
        <v>14</v>
      </c>
      <c r="K58" s="42" t="s">
        <v>877</v>
      </c>
      <c r="L58" s="10">
        <v>45908</v>
      </c>
      <c r="M58" s="42" t="s">
        <v>19</v>
      </c>
      <c r="N58" s="42" t="str">
        <f>+INDEX(COMSY!F:F,MATCH(INSERITO_KIM[[#This Row],[Codice Comsy Tecnico Attuale]],COMSY!E:E,0))</f>
        <v>DECOM</v>
      </c>
      <c r="O58" s="42" t="str">
        <f>+INDEX(COMSY!G:G,MATCH(INSERITO_KIM[[#This Row],[Codice Comsy Tecnico Attuale]],COMSY!E:E,0))</f>
        <v>Giacomo</v>
      </c>
      <c r="P58" s="42" t="str">
        <f>+INDEX(PIANI!B:B,MATCH(INSERITO_KIM[[#This Row],[Valore]],PIANI!A:A,0))</f>
        <v>FISSO</v>
      </c>
      <c r="Q58" s="42">
        <f>+INDEX(PIANI!D:D,MATCH(INSERITO_KIM[[#This Row],[Valore]],PIANI!A:A,0))</f>
        <v>0</v>
      </c>
    </row>
    <row r="59" spans="1:17" x14ac:dyDescent="0.3">
      <c r="A59" s="42" t="s">
        <v>1322</v>
      </c>
      <c r="B59" s="42" t="s">
        <v>1323</v>
      </c>
      <c r="C59" s="42" t="s">
        <v>16</v>
      </c>
      <c r="D59">
        <v>24391455</v>
      </c>
      <c r="E59" s="42" t="s">
        <v>1324</v>
      </c>
      <c r="F59" s="42" t="s">
        <v>751</v>
      </c>
      <c r="G59">
        <v>20</v>
      </c>
      <c r="H59" s="42" t="s">
        <v>700</v>
      </c>
      <c r="I59">
        <v>33.9</v>
      </c>
      <c r="J59" s="42" t="s">
        <v>14</v>
      </c>
      <c r="K59" s="42" t="s">
        <v>780</v>
      </c>
      <c r="L59" s="10">
        <v>45912</v>
      </c>
      <c r="M59" s="42" t="s">
        <v>19</v>
      </c>
      <c r="N59" s="42" t="str">
        <f>+INDEX(COMSY!F:F,MATCH(INSERITO_KIM[[#This Row],[Codice Comsy Tecnico Attuale]],COMSY!E:E,0))</f>
        <v>S.I.P.R.A. ITALIA SAS DI LASALVIA M. &amp; MONTERISI G.</v>
      </c>
      <c r="O59" s="42" t="str">
        <f>+INDEX(COMSY!G:G,MATCH(INSERITO_KIM[[#This Row],[Codice Comsy Tecnico Attuale]],COMSY!E:E,0))</f>
        <v>Luigi</v>
      </c>
      <c r="P59" s="42" t="str">
        <f>+INDEX(PIANI!B:B,MATCH(INSERITO_KIM[[#This Row],[Valore]],PIANI!A:A,0))</f>
        <v>FISSO</v>
      </c>
      <c r="Q59" s="42">
        <f>+INDEX(PIANI!D:D,MATCH(INSERITO_KIM[[#This Row],[Valore]],PIANI!A:A,0))</f>
        <v>0</v>
      </c>
    </row>
    <row r="60" spans="1:17" x14ac:dyDescent="0.3">
      <c r="A60" s="42" t="s">
        <v>1325</v>
      </c>
      <c r="B60" s="42" t="s">
        <v>1326</v>
      </c>
      <c r="C60" s="42" t="s">
        <v>16</v>
      </c>
      <c r="D60">
        <v>24393323</v>
      </c>
      <c r="E60" s="42" t="s">
        <v>1327</v>
      </c>
      <c r="F60" s="42" t="s">
        <v>751</v>
      </c>
      <c r="G60">
        <v>20</v>
      </c>
      <c r="H60" s="42" t="s">
        <v>700</v>
      </c>
      <c r="I60">
        <v>33.9</v>
      </c>
      <c r="J60" s="42" t="s">
        <v>14</v>
      </c>
      <c r="K60" s="42" t="s">
        <v>877</v>
      </c>
      <c r="L60" s="10">
        <v>45912</v>
      </c>
      <c r="M60" s="42" t="s">
        <v>19</v>
      </c>
      <c r="N60" s="42" t="str">
        <f>+INDEX(COMSY!F:F,MATCH(INSERITO_KIM[[#This Row],[Codice Comsy Tecnico Attuale]],COMSY!E:E,0))</f>
        <v>S.I.P.R.A. ITALIA SAS DI LASALVIA M. &amp; MONTERISI G.</v>
      </c>
      <c r="O60" s="42" t="str">
        <f>+INDEX(COMSY!G:G,MATCH(INSERITO_KIM[[#This Row],[Codice Comsy Tecnico Attuale]],COMSY!E:E,0))</f>
        <v>Luigi</v>
      </c>
      <c r="P60" s="42" t="str">
        <f>+INDEX(PIANI!B:B,MATCH(INSERITO_KIM[[#This Row],[Valore]],PIANI!A:A,0))</f>
        <v>FISSO</v>
      </c>
      <c r="Q60" s="42">
        <f>+INDEX(PIANI!D:D,MATCH(INSERITO_KIM[[#This Row],[Valore]],PIANI!A:A,0))</f>
        <v>0</v>
      </c>
    </row>
    <row r="61" spans="1:17" x14ac:dyDescent="0.3">
      <c r="A61" s="42" t="s">
        <v>1185</v>
      </c>
      <c r="B61" s="42" t="s">
        <v>1186</v>
      </c>
      <c r="C61" s="42" t="s">
        <v>16</v>
      </c>
      <c r="D61">
        <v>24380926</v>
      </c>
      <c r="E61" s="42" t="s">
        <v>1187</v>
      </c>
      <c r="F61" s="42" t="s">
        <v>64</v>
      </c>
      <c r="G61">
        <v>20</v>
      </c>
      <c r="H61" s="42" t="s">
        <v>700</v>
      </c>
      <c r="I61">
        <v>35.9</v>
      </c>
      <c r="J61" s="42" t="s">
        <v>14</v>
      </c>
      <c r="K61" s="42" t="s">
        <v>877</v>
      </c>
      <c r="L61" s="10">
        <v>45909</v>
      </c>
      <c r="M61" s="42" t="s">
        <v>19</v>
      </c>
      <c r="N61" s="42" t="str">
        <f>+INDEX(COMSY!F:F,MATCH(INSERITO_KIM[[#This Row],[Codice Comsy Tecnico Attuale]],COMSY!E:E,0))</f>
        <v>MEDIA CENTER DI LUCA BARBERIO</v>
      </c>
      <c r="O61" s="42" t="str">
        <f>+INDEX(COMSY!G:G,MATCH(INSERITO_KIM[[#This Row],[Codice Comsy Tecnico Attuale]],COMSY!E:E,0))</f>
        <v>Giacomo</v>
      </c>
      <c r="P61" s="42" t="str">
        <f>+INDEX(PIANI!B:B,MATCH(INSERITO_KIM[[#This Row],[Valore]],PIANI!A:A,0))</f>
        <v>FISSO</v>
      </c>
      <c r="Q61" s="42">
        <f>+INDEX(PIANI!D:D,MATCH(INSERITO_KIM[[#This Row],[Valore]],PIANI!A:A,0))</f>
        <v>0</v>
      </c>
    </row>
    <row r="62" spans="1:17" x14ac:dyDescent="0.3">
      <c r="A62" s="42" t="s">
        <v>1262</v>
      </c>
      <c r="B62" s="42" t="s">
        <v>1263</v>
      </c>
      <c r="C62" s="42" t="s">
        <v>16</v>
      </c>
      <c r="D62">
        <v>24389981</v>
      </c>
      <c r="E62" s="42" t="s">
        <v>1264</v>
      </c>
      <c r="F62" s="42" t="s">
        <v>64</v>
      </c>
      <c r="G62">
        <v>0</v>
      </c>
      <c r="H62" s="42" t="s">
        <v>13</v>
      </c>
      <c r="I62">
        <v>27.95</v>
      </c>
      <c r="J62" s="42" t="s">
        <v>14</v>
      </c>
      <c r="K62" s="42" t="s">
        <v>877</v>
      </c>
      <c r="L62" s="10">
        <v>45911</v>
      </c>
      <c r="M62" s="42" t="s">
        <v>19</v>
      </c>
      <c r="N62" s="42" t="str">
        <f>+INDEX(COMSY!F:F,MATCH(INSERITO_KIM[[#This Row],[Codice Comsy Tecnico Attuale]],COMSY!E:E,0))</f>
        <v>MEDIA CENTER DI LUCA BARBERIO</v>
      </c>
      <c r="O62" s="42" t="str">
        <f>+INDEX(COMSY!G:G,MATCH(INSERITO_KIM[[#This Row],[Codice Comsy Tecnico Attuale]],COMSY!E:E,0))</f>
        <v>Giacomo</v>
      </c>
      <c r="P62" s="42" t="str">
        <f>+INDEX(PIANI!B:B,MATCH(INSERITO_KIM[[#This Row],[Valore]],PIANI!A:A,0))</f>
        <v>FISSO</v>
      </c>
      <c r="Q62" s="42">
        <f>+INDEX(PIANI!D:D,MATCH(INSERITO_KIM[[#This Row],[Valore]],PIANI!A:A,0))</f>
        <v>0</v>
      </c>
    </row>
    <row r="63" spans="1:17" x14ac:dyDescent="0.3">
      <c r="A63" s="42" t="s">
        <v>1146</v>
      </c>
      <c r="B63" s="42" t="s">
        <v>1147</v>
      </c>
      <c r="C63" s="42" t="s">
        <v>16</v>
      </c>
      <c r="D63">
        <v>24379847</v>
      </c>
      <c r="E63" s="42" t="s">
        <v>1148</v>
      </c>
      <c r="F63" s="42" t="s">
        <v>62</v>
      </c>
      <c r="G63">
        <v>20</v>
      </c>
      <c r="H63" s="42" t="s">
        <v>700</v>
      </c>
      <c r="I63">
        <v>33.9</v>
      </c>
      <c r="J63" s="42" t="s">
        <v>14</v>
      </c>
      <c r="K63" s="42" t="s">
        <v>877</v>
      </c>
      <c r="L63" s="10">
        <v>45908</v>
      </c>
      <c r="M63" s="42" t="s">
        <v>19</v>
      </c>
      <c r="N63" s="42" t="str">
        <f>+INDEX(COMSY!F:F,MATCH(INSERITO_KIM[[#This Row],[Codice Comsy Tecnico Attuale]],COMSY!E:E,0))</f>
        <v xml:space="preserve">INFOPOINT DI DEL VECCHIO ROSA E CORTIGIANO CARMELA </v>
      </c>
      <c r="O63" s="42" t="str">
        <f>+INDEX(COMSY!G:G,MATCH(INSERITO_KIM[[#This Row],[Codice Comsy Tecnico Attuale]],COMSY!E:E,0))</f>
        <v>Giacomo</v>
      </c>
      <c r="P63" s="42" t="str">
        <f>+INDEX(PIANI!B:B,MATCH(INSERITO_KIM[[#This Row],[Valore]],PIANI!A:A,0))</f>
        <v>FISSO</v>
      </c>
      <c r="Q63" s="42">
        <f>+INDEX(PIANI!D:D,MATCH(INSERITO_KIM[[#This Row],[Valore]],PIANI!A:A,0))</f>
        <v>0</v>
      </c>
    </row>
    <row r="64" spans="1:17" x14ac:dyDescent="0.3">
      <c r="A64" s="42" t="s">
        <v>1328</v>
      </c>
      <c r="B64" s="42" t="s">
        <v>1329</v>
      </c>
      <c r="C64" s="42" t="s">
        <v>16</v>
      </c>
      <c r="D64">
        <v>24393480</v>
      </c>
      <c r="E64" s="42" t="s">
        <v>1330</v>
      </c>
      <c r="F64" s="42" t="s">
        <v>281</v>
      </c>
      <c r="G64">
        <v>20</v>
      </c>
      <c r="H64" s="42" t="s">
        <v>700</v>
      </c>
      <c r="I64">
        <v>33.9</v>
      </c>
      <c r="J64" s="42" t="s">
        <v>14</v>
      </c>
      <c r="K64" s="42" t="s">
        <v>877</v>
      </c>
      <c r="L64" s="10">
        <v>45912</v>
      </c>
      <c r="M64" s="42" t="s">
        <v>19</v>
      </c>
      <c r="N64" s="42" t="str">
        <f>+INDEX(COMSY!F:F,MATCH(INSERITO_KIM[[#This Row],[Codice Comsy Tecnico Attuale]],COMSY!E:E,0))</f>
        <v>THE WALL MUSIC CENTER DI GRASSI GIANLUCA</v>
      </c>
      <c r="O64" s="42" t="str">
        <f>+INDEX(COMSY!G:G,MATCH(INSERITO_KIM[[#This Row],[Codice Comsy Tecnico Attuale]],COMSY!E:E,0))</f>
        <v>Raffaele</v>
      </c>
      <c r="P64" s="42" t="str">
        <f>+INDEX(PIANI!B:B,MATCH(INSERITO_KIM[[#This Row],[Valore]],PIANI!A:A,0))</f>
        <v>FISSO</v>
      </c>
      <c r="Q64" s="42">
        <f>+INDEX(PIANI!D:D,MATCH(INSERITO_KIM[[#This Row],[Valore]],PIANI!A:A,0))</f>
        <v>0</v>
      </c>
    </row>
    <row r="65" spans="1:17" x14ac:dyDescent="0.3">
      <c r="A65" s="42" t="s">
        <v>1017</v>
      </c>
      <c r="B65" s="42" t="s">
        <v>1018</v>
      </c>
      <c r="C65" s="42" t="s">
        <v>16</v>
      </c>
      <c r="D65">
        <v>24373098</v>
      </c>
      <c r="E65" s="42" t="s">
        <v>1019</v>
      </c>
      <c r="F65" s="42" t="s">
        <v>367</v>
      </c>
      <c r="G65">
        <v>0</v>
      </c>
      <c r="H65" s="42" t="s">
        <v>13</v>
      </c>
      <c r="I65">
        <v>27.95</v>
      </c>
      <c r="J65" s="42" t="s">
        <v>14</v>
      </c>
      <c r="K65" s="42" t="s">
        <v>877</v>
      </c>
      <c r="L65" s="10">
        <v>45905</v>
      </c>
      <c r="M65" s="42" t="s">
        <v>19</v>
      </c>
      <c r="N65" s="42" t="str">
        <f>+INDEX(COMSY!F:F,MATCH(INSERITO_KIM[[#This Row],[Codice Comsy Tecnico Attuale]],COMSY!E:E,0))</f>
        <v>SMART BOX</v>
      </c>
      <c r="O65" s="42" t="str">
        <f>+INDEX(COMSY!G:G,MATCH(INSERITO_KIM[[#This Row],[Codice Comsy Tecnico Attuale]],COMSY!E:E,0))</f>
        <v>Luigi</v>
      </c>
      <c r="P65" s="42" t="str">
        <f>+INDEX(PIANI!B:B,MATCH(INSERITO_KIM[[#This Row],[Valore]],PIANI!A:A,0))</f>
        <v>FISSO</v>
      </c>
      <c r="Q65" s="42">
        <f>+INDEX(PIANI!D:D,MATCH(INSERITO_KIM[[#This Row],[Valore]],PIANI!A:A,0))</f>
        <v>0</v>
      </c>
    </row>
    <row r="66" spans="1:17" x14ac:dyDescent="0.3">
      <c r="A66" s="42" t="s">
        <v>832</v>
      </c>
      <c r="B66" s="42" t="s">
        <v>833</v>
      </c>
      <c r="C66" s="42" t="s">
        <v>16</v>
      </c>
      <c r="D66">
        <v>24362651</v>
      </c>
      <c r="E66" s="42" t="s">
        <v>834</v>
      </c>
      <c r="F66" s="42" t="s">
        <v>113</v>
      </c>
      <c r="G66">
        <v>20</v>
      </c>
      <c r="H66" s="42" t="s">
        <v>700</v>
      </c>
      <c r="I66">
        <v>32.9</v>
      </c>
      <c r="J66" s="42" t="s">
        <v>14</v>
      </c>
      <c r="K66" s="42" t="s">
        <v>877</v>
      </c>
      <c r="L66" s="10">
        <v>45901</v>
      </c>
      <c r="M66" s="42" t="s">
        <v>19</v>
      </c>
      <c r="N66" s="42" t="str">
        <f>+INDEX(COMSY!F:F,MATCH(INSERITO_KIM[[#This Row],[Codice Comsy Tecnico Attuale]],COMSY!E:E,0))</f>
        <v>ELEKTRO-DO DOMENICO LOBASCIO</v>
      </c>
      <c r="O66" s="42" t="str">
        <f>+INDEX(COMSY!G:G,MATCH(INSERITO_KIM[[#This Row],[Codice Comsy Tecnico Attuale]],COMSY!E:E,0))</f>
        <v>Giacomo</v>
      </c>
      <c r="P66" s="42" t="str">
        <f>+INDEX(PIANI!B:B,MATCH(INSERITO_KIM[[#This Row],[Valore]],PIANI!A:A,0))</f>
        <v>FISSO</v>
      </c>
      <c r="Q66" s="42">
        <f>+INDEX(PIANI!D:D,MATCH(INSERITO_KIM[[#This Row],[Valore]],PIANI!A:A,0))</f>
        <v>0</v>
      </c>
    </row>
    <row r="67" spans="1:17" x14ac:dyDescent="0.3">
      <c r="A67" s="42" t="s">
        <v>941</v>
      </c>
      <c r="B67" s="42" t="s">
        <v>942</v>
      </c>
      <c r="C67" s="42" t="s">
        <v>16</v>
      </c>
      <c r="D67">
        <v>24367430</v>
      </c>
      <c r="E67" s="42" t="s">
        <v>943</v>
      </c>
      <c r="F67" s="42" t="s">
        <v>82</v>
      </c>
      <c r="G67">
        <v>0</v>
      </c>
      <c r="H67" s="42" t="s">
        <v>13</v>
      </c>
      <c r="I67">
        <v>27.95</v>
      </c>
      <c r="J67" s="42" t="s">
        <v>14</v>
      </c>
      <c r="K67" s="42" t="s">
        <v>877</v>
      </c>
      <c r="L67" s="10">
        <v>45903</v>
      </c>
      <c r="M67" s="42" t="s">
        <v>19</v>
      </c>
      <c r="N67" s="42" t="str">
        <f>+INDEX(COMSY!F:F,MATCH(INSERITO_KIM[[#This Row],[Codice Comsy Tecnico Attuale]],COMSY!E:E,0))</f>
        <v>BOXSTORE DI SAVINO</v>
      </c>
      <c r="O67" s="42" t="str">
        <f>+INDEX(COMSY!G:G,MATCH(INSERITO_KIM[[#This Row],[Codice Comsy Tecnico Attuale]],COMSY!E:E,0))</f>
        <v>Giacomo</v>
      </c>
      <c r="P67" s="42" t="str">
        <f>+INDEX(PIANI!B:B,MATCH(INSERITO_KIM[[#This Row],[Valore]],PIANI!A:A,0))</f>
        <v>FISSO</v>
      </c>
      <c r="Q67" s="42">
        <f>+INDEX(PIANI!D:D,MATCH(INSERITO_KIM[[#This Row],[Valore]],PIANI!A:A,0))</f>
        <v>0</v>
      </c>
    </row>
    <row r="68" spans="1:17" x14ac:dyDescent="0.3">
      <c r="A68" s="42" t="s">
        <v>1020</v>
      </c>
      <c r="B68" s="42" t="s">
        <v>1021</v>
      </c>
      <c r="C68" s="42" t="s">
        <v>16</v>
      </c>
      <c r="D68">
        <v>24374942</v>
      </c>
      <c r="E68" s="42" t="s">
        <v>1022</v>
      </c>
      <c r="F68" s="42" t="s">
        <v>52</v>
      </c>
      <c r="G68">
        <v>20</v>
      </c>
      <c r="H68" s="42" t="s">
        <v>700</v>
      </c>
      <c r="I68">
        <v>33.9</v>
      </c>
      <c r="J68" s="42" t="s">
        <v>14</v>
      </c>
      <c r="K68" s="42" t="s">
        <v>877</v>
      </c>
      <c r="L68" s="10">
        <v>45906</v>
      </c>
      <c r="M68" s="42" t="s">
        <v>19</v>
      </c>
      <c r="N68" s="42" t="str">
        <f>+INDEX(COMSY!F:F,MATCH(INSERITO_KIM[[#This Row],[Codice Comsy Tecnico Attuale]],COMSY!E:E,0))</f>
        <v>HUB 98 di DRAGONE GIUSEPPE</v>
      </c>
      <c r="O68" s="42" t="str">
        <f>+INDEX(COMSY!G:G,MATCH(INSERITO_KIM[[#This Row],[Codice Comsy Tecnico Attuale]],COMSY!E:E,0))</f>
        <v>Raffaele</v>
      </c>
      <c r="P68" s="42" t="str">
        <f>+INDEX(PIANI!B:B,MATCH(INSERITO_KIM[[#This Row],[Valore]],PIANI!A:A,0))</f>
        <v>FISSO</v>
      </c>
      <c r="Q68" s="42">
        <f>+INDEX(PIANI!D:D,MATCH(INSERITO_KIM[[#This Row],[Valore]],PIANI!A:A,0))</f>
        <v>0</v>
      </c>
    </row>
    <row r="69" spans="1:17" x14ac:dyDescent="0.3">
      <c r="A69" s="42" t="s">
        <v>944</v>
      </c>
      <c r="B69" s="42" t="s">
        <v>945</v>
      </c>
      <c r="C69" s="42" t="s">
        <v>16</v>
      </c>
      <c r="D69">
        <v>24368869</v>
      </c>
      <c r="E69" s="42" t="s">
        <v>946</v>
      </c>
      <c r="F69" s="42" t="s">
        <v>62</v>
      </c>
      <c r="G69">
        <v>21</v>
      </c>
      <c r="H69" s="42" t="s">
        <v>21</v>
      </c>
      <c r="I69">
        <v>10.95</v>
      </c>
      <c r="J69" s="42" t="s">
        <v>17</v>
      </c>
      <c r="K69" s="42" t="s">
        <v>17</v>
      </c>
      <c r="L69" s="10">
        <v>45903</v>
      </c>
      <c r="M69" s="42" t="s">
        <v>22</v>
      </c>
      <c r="N69" s="42" t="str">
        <f>+INDEX(COMSY!F:F,MATCH(INSERITO_KIM[[#This Row],[Codice Comsy Tecnico Attuale]],COMSY!E:E,0))</f>
        <v xml:space="preserve">INFOPOINT DI DEL VECCHIO ROSA E CORTIGIANO CARMELA </v>
      </c>
      <c r="O69" s="42" t="str">
        <f>+INDEX(COMSY!G:G,MATCH(INSERITO_KIM[[#This Row],[Codice Comsy Tecnico Attuale]],COMSY!E:E,0))</f>
        <v>Giacomo</v>
      </c>
      <c r="P69" s="42" t="str">
        <f>+INDEX(PIANI!B:B,MATCH(INSERITO_KIM[[#This Row],[Valore]],PIANI!A:A,0))</f>
        <v>MOBILE</v>
      </c>
      <c r="Q69" s="42">
        <f>+INDEX(PIANI!D:D,MATCH(INSERITO_KIM[[#This Row],[Valore]],PIANI!A:A,0))</f>
        <v>20</v>
      </c>
    </row>
    <row r="70" spans="1:17" x14ac:dyDescent="0.3">
      <c r="A70" s="42" t="s">
        <v>1023</v>
      </c>
      <c r="B70" s="42" t="s">
        <v>1024</v>
      </c>
      <c r="C70" s="42" t="s">
        <v>16</v>
      </c>
      <c r="D70">
        <v>24372395</v>
      </c>
      <c r="E70" s="42" t="s">
        <v>1025</v>
      </c>
      <c r="F70" s="42" t="s">
        <v>73</v>
      </c>
      <c r="G70">
        <v>22</v>
      </c>
      <c r="H70" s="42" t="s">
        <v>21</v>
      </c>
      <c r="I70">
        <v>11.95</v>
      </c>
      <c r="J70" s="42" t="s">
        <v>17</v>
      </c>
      <c r="K70" s="42" t="s">
        <v>17</v>
      </c>
      <c r="L70" s="10">
        <v>45905</v>
      </c>
      <c r="M70" s="42" t="s">
        <v>22</v>
      </c>
      <c r="N70" s="42" t="str">
        <f>+INDEX(COMSY!F:F,MATCH(INSERITO_KIM[[#This Row],[Codice Comsy Tecnico Attuale]],COMSY!E:E,0))</f>
        <v>NICK TEL DI NICOLA MASTROCRISTINO</v>
      </c>
      <c r="O70" s="42" t="str">
        <f>+INDEX(COMSY!G:G,MATCH(INSERITO_KIM[[#This Row],[Codice Comsy Tecnico Attuale]],COMSY!E:E,0))</f>
        <v>Giacomo</v>
      </c>
      <c r="P70" s="42" t="str">
        <f>+INDEX(PIANI!B:B,MATCH(INSERITO_KIM[[#This Row],[Valore]],PIANI!A:A,0))</f>
        <v>MOBILE</v>
      </c>
      <c r="Q70" s="42">
        <f>+INDEX(PIANI!D:D,MATCH(INSERITO_KIM[[#This Row],[Valore]],PIANI!A:A,0))</f>
        <v>20</v>
      </c>
    </row>
    <row r="71" spans="1:17" x14ac:dyDescent="0.3">
      <c r="A71" s="42" t="s">
        <v>1331</v>
      </c>
      <c r="B71" s="42" t="s">
        <v>1332</v>
      </c>
      <c r="C71" s="42" t="s">
        <v>16</v>
      </c>
      <c r="D71">
        <v>24393062</v>
      </c>
      <c r="E71" s="42" t="s">
        <v>1333</v>
      </c>
      <c r="F71" s="42" t="s">
        <v>50</v>
      </c>
      <c r="G71">
        <v>22</v>
      </c>
      <c r="H71" s="42" t="s">
        <v>21</v>
      </c>
      <c r="I71">
        <v>11.95</v>
      </c>
      <c r="J71" s="42" t="s">
        <v>17</v>
      </c>
      <c r="K71" s="42" t="s">
        <v>17</v>
      </c>
      <c r="L71" s="10">
        <v>45912</v>
      </c>
      <c r="M71" s="42" t="s">
        <v>22</v>
      </c>
      <c r="N71" s="42" t="str">
        <f>+INDEX(COMSY!F:F,MATCH(INSERITO_KIM[[#This Row],[Codice Comsy Tecnico Attuale]],COMSY!E:E,0))</f>
        <v>KIM</v>
      </c>
      <c r="O71" s="42" t="str">
        <f>+INDEX(COMSY!G:G,MATCH(INSERITO_KIM[[#This Row],[Codice Comsy Tecnico Attuale]],COMSY!E:E,0))</f>
        <v>KIM</v>
      </c>
      <c r="P71" s="42" t="str">
        <f>+INDEX(PIANI!B:B,MATCH(INSERITO_KIM[[#This Row],[Valore]],PIANI!A:A,0))</f>
        <v>MOBILE</v>
      </c>
      <c r="Q71" s="42">
        <f>+INDEX(PIANI!D:D,MATCH(INSERITO_KIM[[#This Row],[Valore]],PIANI!A:A,0))</f>
        <v>20</v>
      </c>
    </row>
    <row r="72" spans="1:17" x14ac:dyDescent="0.3">
      <c r="A72" s="42" t="s">
        <v>1149</v>
      </c>
      <c r="B72" s="42" t="s">
        <v>1150</v>
      </c>
      <c r="C72" s="42" t="s">
        <v>16</v>
      </c>
      <c r="D72">
        <v>24377562</v>
      </c>
      <c r="E72" s="42" t="s">
        <v>1151</v>
      </c>
      <c r="F72" s="42" t="s">
        <v>774</v>
      </c>
      <c r="G72">
        <v>22</v>
      </c>
      <c r="H72" s="42" t="s">
        <v>21</v>
      </c>
      <c r="I72">
        <v>11.95</v>
      </c>
      <c r="J72" s="42" t="s">
        <v>17</v>
      </c>
      <c r="K72" s="42" t="s">
        <v>17</v>
      </c>
      <c r="L72" s="10">
        <v>45908</v>
      </c>
      <c r="M72" s="42" t="s">
        <v>22</v>
      </c>
      <c r="N72" s="42" t="str">
        <f>+INDEX(COMSY!F:F,MATCH(INSERITO_KIM[[#This Row],[Codice Comsy Tecnico Attuale]],COMSY!E:E,0))</f>
        <v>TELEFONIA SERVICE DI ANTONELLI MICHELE</v>
      </c>
      <c r="O72" s="42" t="str">
        <f>+INDEX(COMSY!G:G,MATCH(INSERITO_KIM[[#This Row],[Codice Comsy Tecnico Attuale]],COMSY!E:E,0))</f>
        <v>Luigi</v>
      </c>
      <c r="P72" s="42" t="str">
        <f>+INDEX(PIANI!B:B,MATCH(INSERITO_KIM[[#This Row],[Valore]],PIANI!A:A,0))</f>
        <v>MOBILE</v>
      </c>
      <c r="Q72" s="42">
        <f>+INDEX(PIANI!D:D,MATCH(INSERITO_KIM[[#This Row],[Valore]],PIANI!A:A,0))</f>
        <v>20</v>
      </c>
    </row>
    <row r="73" spans="1:17" x14ac:dyDescent="0.3">
      <c r="A73" s="42" t="s">
        <v>1026</v>
      </c>
      <c r="B73" s="42" t="s">
        <v>1027</v>
      </c>
      <c r="C73" s="42" t="s">
        <v>16</v>
      </c>
      <c r="D73">
        <v>24375436</v>
      </c>
      <c r="E73" s="42" t="s">
        <v>1028</v>
      </c>
      <c r="F73" s="42" t="s">
        <v>62</v>
      </c>
      <c r="G73">
        <v>22</v>
      </c>
      <c r="H73" s="42" t="s">
        <v>21</v>
      </c>
      <c r="I73">
        <v>11.95</v>
      </c>
      <c r="J73" s="42" t="s">
        <v>17</v>
      </c>
      <c r="K73" s="42" t="s">
        <v>17</v>
      </c>
      <c r="L73" s="10">
        <v>45906</v>
      </c>
      <c r="M73" s="42" t="s">
        <v>22</v>
      </c>
      <c r="N73" s="42" t="str">
        <f>+INDEX(COMSY!F:F,MATCH(INSERITO_KIM[[#This Row],[Codice Comsy Tecnico Attuale]],COMSY!E:E,0))</f>
        <v xml:space="preserve">INFOPOINT DI DEL VECCHIO ROSA E CORTIGIANO CARMELA </v>
      </c>
      <c r="O73" s="42" t="str">
        <f>+INDEX(COMSY!G:G,MATCH(INSERITO_KIM[[#This Row],[Codice Comsy Tecnico Attuale]],COMSY!E:E,0))</f>
        <v>Giacomo</v>
      </c>
      <c r="P73" s="42" t="str">
        <f>+INDEX(PIANI!B:B,MATCH(INSERITO_KIM[[#This Row],[Valore]],PIANI!A:A,0))</f>
        <v>MOBILE</v>
      </c>
      <c r="Q73" s="42">
        <f>+INDEX(PIANI!D:D,MATCH(INSERITO_KIM[[#This Row],[Valore]],PIANI!A:A,0))</f>
        <v>20</v>
      </c>
    </row>
    <row r="74" spans="1:17" x14ac:dyDescent="0.3">
      <c r="A74" s="42" t="s">
        <v>947</v>
      </c>
      <c r="B74" s="42" t="s">
        <v>948</v>
      </c>
      <c r="C74" s="42" t="s">
        <v>16</v>
      </c>
      <c r="D74">
        <v>24367048</v>
      </c>
      <c r="E74" s="42" t="s">
        <v>949</v>
      </c>
      <c r="F74" s="42" t="s">
        <v>450</v>
      </c>
      <c r="G74">
        <v>21</v>
      </c>
      <c r="H74" s="42" t="s">
        <v>21</v>
      </c>
      <c r="I74">
        <v>10.95</v>
      </c>
      <c r="J74" s="42" t="s">
        <v>17</v>
      </c>
      <c r="K74" s="42" t="s">
        <v>17</v>
      </c>
      <c r="L74" s="10">
        <v>45903</v>
      </c>
      <c r="M74" s="42" t="s">
        <v>22</v>
      </c>
      <c r="N74" s="42" t="str">
        <f>+INDEX(COMSY!F:F,MATCH(INSERITO_KIM[[#This Row],[Codice Comsy Tecnico Attuale]],COMSY!E:E,0))</f>
        <v>R&amp;P PLANET PHONE SRLS</v>
      </c>
      <c r="O74" s="42" t="str">
        <f>+INDEX(COMSY!G:G,MATCH(INSERITO_KIM[[#This Row],[Codice Comsy Tecnico Attuale]],COMSY!E:E,0))</f>
        <v>Giacomo</v>
      </c>
      <c r="P74" s="42" t="str">
        <f>+INDEX(PIANI!B:B,MATCH(INSERITO_KIM[[#This Row],[Valore]],PIANI!A:A,0))</f>
        <v>MOBILE</v>
      </c>
      <c r="Q74" s="42">
        <f>+INDEX(PIANI!D:D,MATCH(INSERITO_KIM[[#This Row],[Valore]],PIANI!A:A,0))</f>
        <v>20</v>
      </c>
    </row>
    <row r="75" spans="1:17" x14ac:dyDescent="0.3">
      <c r="A75" s="42" t="s">
        <v>1029</v>
      </c>
      <c r="B75" s="42" t="s">
        <v>1030</v>
      </c>
      <c r="C75" s="42" t="s">
        <v>16</v>
      </c>
      <c r="D75">
        <v>24372215</v>
      </c>
      <c r="E75" s="42" t="s">
        <v>1031</v>
      </c>
      <c r="F75" s="42" t="s">
        <v>75</v>
      </c>
      <c r="G75">
        <v>22</v>
      </c>
      <c r="H75" s="42" t="s">
        <v>21</v>
      </c>
      <c r="I75">
        <v>11.95</v>
      </c>
      <c r="J75" s="42" t="s">
        <v>17</v>
      </c>
      <c r="K75" s="42" t="s">
        <v>17</v>
      </c>
      <c r="L75" s="10">
        <v>45904</v>
      </c>
      <c r="M75" s="42" t="s">
        <v>22</v>
      </c>
      <c r="N75" s="42" t="str">
        <f>+INDEX(COMSY!F:F,MATCH(INSERITO_KIM[[#This Row],[Codice Comsy Tecnico Attuale]],COMSY!E:E,0))</f>
        <v xml:space="preserve">DE TOMMASO ANTONIO         </v>
      </c>
      <c r="O75" s="42" t="str">
        <f>+INDEX(COMSY!G:G,MATCH(INSERITO_KIM[[#This Row],[Codice Comsy Tecnico Attuale]],COMSY!E:E,0))</f>
        <v>Giacomo</v>
      </c>
      <c r="P75" s="42" t="str">
        <f>+INDEX(PIANI!B:B,MATCH(INSERITO_KIM[[#This Row],[Valore]],PIANI!A:A,0))</f>
        <v>MOBILE</v>
      </c>
      <c r="Q75" s="42">
        <f>+INDEX(PIANI!D:D,MATCH(INSERITO_KIM[[#This Row],[Valore]],PIANI!A:A,0))</f>
        <v>20</v>
      </c>
    </row>
    <row r="76" spans="1:17" x14ac:dyDescent="0.3">
      <c r="A76" s="42" t="s">
        <v>1152</v>
      </c>
      <c r="B76" s="42" t="s">
        <v>1153</v>
      </c>
      <c r="C76" s="42" t="s">
        <v>16</v>
      </c>
      <c r="D76">
        <v>24380052</v>
      </c>
      <c r="E76" s="42" t="s">
        <v>1154</v>
      </c>
      <c r="F76" s="42" t="s">
        <v>69</v>
      </c>
      <c r="G76">
        <v>22</v>
      </c>
      <c r="H76" s="42" t="s">
        <v>21</v>
      </c>
      <c r="I76">
        <v>11.95</v>
      </c>
      <c r="J76" s="42" t="s">
        <v>17</v>
      </c>
      <c r="K76" s="42" t="s">
        <v>17</v>
      </c>
      <c r="L76" s="10">
        <v>45908</v>
      </c>
      <c r="M76" s="42" t="s">
        <v>22</v>
      </c>
      <c r="N76" s="42" t="str">
        <f>+INDEX(COMSY!F:F,MATCH(INSERITO_KIM[[#This Row],[Codice Comsy Tecnico Attuale]],COMSY!E:E,0))</f>
        <v>DEBATECH DI DE PIANO DINA</v>
      </c>
      <c r="O76" s="42" t="str">
        <f>+INDEX(COMSY!G:G,MATCH(INSERITO_KIM[[#This Row],[Codice Comsy Tecnico Attuale]],COMSY!E:E,0))</f>
        <v>Giacomo</v>
      </c>
      <c r="P76" s="42" t="str">
        <f>+INDEX(PIANI!B:B,MATCH(INSERITO_KIM[[#This Row],[Valore]],PIANI!A:A,0))</f>
        <v>MOBILE</v>
      </c>
      <c r="Q76" s="42">
        <f>+INDEX(PIANI!D:D,MATCH(INSERITO_KIM[[#This Row],[Valore]],PIANI!A:A,0))</f>
        <v>20</v>
      </c>
    </row>
    <row r="77" spans="1:17" x14ac:dyDescent="0.3">
      <c r="A77" s="42" t="s">
        <v>835</v>
      </c>
      <c r="B77" s="42" t="s">
        <v>836</v>
      </c>
      <c r="C77" s="42" t="s">
        <v>16</v>
      </c>
      <c r="D77">
        <v>24360037</v>
      </c>
      <c r="E77" s="42" t="s">
        <v>837</v>
      </c>
      <c r="F77" s="42" t="s">
        <v>774</v>
      </c>
      <c r="G77">
        <v>21</v>
      </c>
      <c r="H77" s="42" t="s">
        <v>21</v>
      </c>
      <c r="I77">
        <v>10.95</v>
      </c>
      <c r="J77" s="42" t="s">
        <v>17</v>
      </c>
      <c r="K77" s="42" t="s">
        <v>17</v>
      </c>
      <c r="L77" s="10">
        <v>45901</v>
      </c>
      <c r="M77" s="42" t="s">
        <v>22</v>
      </c>
      <c r="N77" s="42" t="str">
        <f>+INDEX(COMSY!F:F,MATCH(INSERITO_KIM[[#This Row],[Codice Comsy Tecnico Attuale]],COMSY!E:E,0))</f>
        <v>TELEFONIA SERVICE DI ANTONELLI MICHELE</v>
      </c>
      <c r="O77" s="42" t="str">
        <f>+INDEX(COMSY!G:G,MATCH(INSERITO_KIM[[#This Row],[Codice Comsy Tecnico Attuale]],COMSY!E:E,0))</f>
        <v>Luigi</v>
      </c>
      <c r="P77" s="42" t="str">
        <f>+INDEX(PIANI!B:B,MATCH(INSERITO_KIM[[#This Row],[Valore]],PIANI!A:A,0))</f>
        <v>MOBILE</v>
      </c>
      <c r="Q77" s="42">
        <f>+INDEX(PIANI!D:D,MATCH(INSERITO_KIM[[#This Row],[Valore]],PIANI!A:A,0))</f>
        <v>20</v>
      </c>
    </row>
    <row r="78" spans="1:17" x14ac:dyDescent="0.3">
      <c r="A78" s="42" t="s">
        <v>1265</v>
      </c>
      <c r="B78" s="42" t="s">
        <v>1266</v>
      </c>
      <c r="C78" s="42" t="s">
        <v>16</v>
      </c>
      <c r="D78">
        <v>24387661</v>
      </c>
      <c r="E78" s="42" t="s">
        <v>1267</v>
      </c>
      <c r="F78" s="42" t="s">
        <v>103</v>
      </c>
      <c r="G78">
        <v>22</v>
      </c>
      <c r="H78" s="42" t="s">
        <v>21</v>
      </c>
      <c r="I78">
        <v>11.95</v>
      </c>
      <c r="J78" s="42" t="s">
        <v>17</v>
      </c>
      <c r="K78" s="42" t="s">
        <v>17</v>
      </c>
      <c r="L78" s="10">
        <v>45911</v>
      </c>
      <c r="M78" s="42" t="s">
        <v>22</v>
      </c>
      <c r="N78" s="42" t="str">
        <f>+INDEX(COMSY!F:F,MATCH(INSERITO_KIM[[#This Row],[Codice Comsy Tecnico Attuale]],COMSY!E:E,0))</f>
        <v>GIOVE - TECH DI CIAFARDONI NELLO</v>
      </c>
      <c r="O78" s="42" t="str">
        <f>+INDEX(COMSY!G:G,MATCH(INSERITO_KIM[[#This Row],[Codice Comsy Tecnico Attuale]],COMSY!E:E,0))</f>
        <v>Luigi</v>
      </c>
      <c r="P78" s="42" t="str">
        <f>+INDEX(PIANI!B:B,MATCH(INSERITO_KIM[[#This Row],[Valore]],PIANI!A:A,0))</f>
        <v>MOBILE</v>
      </c>
      <c r="Q78" s="42">
        <f>+INDEX(PIANI!D:D,MATCH(INSERITO_KIM[[#This Row],[Valore]],PIANI!A:A,0))</f>
        <v>20</v>
      </c>
    </row>
    <row r="79" spans="1:17" x14ac:dyDescent="0.3">
      <c r="A79" s="42" t="s">
        <v>1032</v>
      </c>
      <c r="B79" s="42" t="s">
        <v>1033</v>
      </c>
      <c r="C79" s="42" t="s">
        <v>16</v>
      </c>
      <c r="D79">
        <v>24373117</v>
      </c>
      <c r="E79" s="42" t="s">
        <v>1034</v>
      </c>
      <c r="F79" s="42" t="s">
        <v>774</v>
      </c>
      <c r="G79">
        <v>22</v>
      </c>
      <c r="H79" s="42" t="s">
        <v>21</v>
      </c>
      <c r="I79">
        <v>11.95</v>
      </c>
      <c r="J79" s="42" t="s">
        <v>17</v>
      </c>
      <c r="K79" s="42" t="s">
        <v>17</v>
      </c>
      <c r="L79" s="10">
        <v>45905</v>
      </c>
      <c r="M79" s="42" t="s">
        <v>22</v>
      </c>
      <c r="N79" s="42" t="str">
        <f>+INDEX(COMSY!F:F,MATCH(INSERITO_KIM[[#This Row],[Codice Comsy Tecnico Attuale]],COMSY!E:E,0))</f>
        <v>TELEFONIA SERVICE DI ANTONELLI MICHELE</v>
      </c>
      <c r="O79" s="42" t="str">
        <f>+INDEX(COMSY!G:G,MATCH(INSERITO_KIM[[#This Row],[Codice Comsy Tecnico Attuale]],COMSY!E:E,0))</f>
        <v>Luigi</v>
      </c>
      <c r="P79" s="42" t="str">
        <f>+INDEX(PIANI!B:B,MATCH(INSERITO_KIM[[#This Row],[Valore]],PIANI!A:A,0))</f>
        <v>MOBILE</v>
      </c>
      <c r="Q79" s="42">
        <f>+INDEX(PIANI!D:D,MATCH(INSERITO_KIM[[#This Row],[Valore]],PIANI!A:A,0))</f>
        <v>20</v>
      </c>
    </row>
    <row r="80" spans="1:17" x14ac:dyDescent="0.3">
      <c r="A80" s="42" t="s">
        <v>1035</v>
      </c>
      <c r="B80" s="42" t="s">
        <v>1036</v>
      </c>
      <c r="C80" s="42" t="s">
        <v>16</v>
      </c>
      <c r="D80">
        <v>24373274</v>
      </c>
      <c r="E80" s="42" t="s">
        <v>1037</v>
      </c>
      <c r="F80" s="42" t="s">
        <v>208</v>
      </c>
      <c r="G80">
        <v>30</v>
      </c>
      <c r="H80" s="42" t="s">
        <v>21</v>
      </c>
      <c r="I80">
        <v>19.95</v>
      </c>
      <c r="J80" s="42" t="s">
        <v>17</v>
      </c>
      <c r="K80" s="42" t="s">
        <v>17</v>
      </c>
      <c r="L80" s="10">
        <v>45905</v>
      </c>
      <c r="M80" s="42" t="s">
        <v>1038</v>
      </c>
      <c r="N80" s="42" t="str">
        <f>+INDEX(COMSY!F:F,MATCH(INSERITO_KIM[[#This Row],[Codice Comsy Tecnico Attuale]],COMSY!E:E,0))</f>
        <v>ELECTROASSIST DI LABIENTE LAZZARO</v>
      </c>
      <c r="O80" s="42" t="str">
        <f>+INDEX(COMSY!G:G,MATCH(INSERITO_KIM[[#This Row],[Codice Comsy Tecnico Attuale]],COMSY!E:E,0))</f>
        <v>Luigi</v>
      </c>
      <c r="P80" s="42" t="str">
        <f>+INDEX(PIANI!B:B,MATCH(INSERITO_KIM[[#This Row],[Valore]],PIANI!A:A,0))</f>
        <v>MOBILE</v>
      </c>
      <c r="Q80" s="42">
        <f>+INDEX(PIANI!D:D,MATCH(INSERITO_KIM[[#This Row],[Valore]],PIANI!A:A,0))</f>
        <v>0</v>
      </c>
    </row>
    <row r="81" spans="1:17" x14ac:dyDescent="0.3">
      <c r="A81" s="42" t="s">
        <v>1039</v>
      </c>
      <c r="B81" s="42" t="s">
        <v>1040</v>
      </c>
      <c r="C81" s="42" t="s">
        <v>16</v>
      </c>
      <c r="D81">
        <v>24370723</v>
      </c>
      <c r="E81" s="42" t="s">
        <v>1041</v>
      </c>
      <c r="F81" s="42" t="s">
        <v>108</v>
      </c>
      <c r="G81">
        <v>30</v>
      </c>
      <c r="H81" s="42" t="s">
        <v>21</v>
      </c>
      <c r="I81">
        <v>19.95</v>
      </c>
      <c r="J81" s="42" t="s">
        <v>17</v>
      </c>
      <c r="K81" s="42" t="s">
        <v>17</v>
      </c>
      <c r="L81" s="10">
        <v>45904</v>
      </c>
      <c r="M81" s="42" t="s">
        <v>1038</v>
      </c>
      <c r="N81" s="42" t="str">
        <f>+INDEX(COMSY!F:F,MATCH(INSERITO_KIM[[#This Row],[Codice Comsy Tecnico Attuale]],COMSY!E:E,0))</f>
        <v>LA CONNESSIONE di GABRIELE DONATELLA</v>
      </c>
      <c r="O81" s="42" t="str">
        <f>+INDEX(COMSY!G:G,MATCH(INSERITO_KIM[[#This Row],[Codice Comsy Tecnico Attuale]],COMSY!E:E,0))</f>
        <v>Giacomo</v>
      </c>
      <c r="P81" s="42" t="str">
        <f>+INDEX(PIANI!B:B,MATCH(INSERITO_KIM[[#This Row],[Valore]],PIANI!A:A,0))</f>
        <v>MOBILE</v>
      </c>
      <c r="Q81" s="42">
        <f>+INDEX(PIANI!D:D,MATCH(INSERITO_KIM[[#This Row],[Valore]],PIANI!A:A,0))</f>
        <v>0</v>
      </c>
    </row>
    <row r="82" spans="1:17" x14ac:dyDescent="0.3">
      <c r="A82" s="42" t="s">
        <v>1042</v>
      </c>
      <c r="B82" s="42" t="s">
        <v>1043</v>
      </c>
      <c r="C82" s="42" t="s">
        <v>16</v>
      </c>
      <c r="D82">
        <v>24374563</v>
      </c>
      <c r="E82" s="42" t="s">
        <v>1044</v>
      </c>
      <c r="F82" s="42" t="s">
        <v>705</v>
      </c>
      <c r="G82">
        <v>30</v>
      </c>
      <c r="H82" s="42" t="s">
        <v>21</v>
      </c>
      <c r="I82">
        <v>19.95</v>
      </c>
      <c r="J82" s="42" t="s">
        <v>17</v>
      </c>
      <c r="K82" s="42" t="s">
        <v>17</v>
      </c>
      <c r="L82" s="10">
        <v>45905</v>
      </c>
      <c r="M82" s="42" t="s">
        <v>1038</v>
      </c>
      <c r="N82" s="42" t="str">
        <f>+INDEX(COMSY!F:F,MATCH(INSERITO_KIM[[#This Row],[Codice Comsy Tecnico Attuale]],COMSY!E:E,0))</f>
        <v xml:space="preserve">ELETTRONIC CENTER DI TROISIO GIUSEPPE           </v>
      </c>
      <c r="O82" s="42" t="str">
        <f>+INDEX(COMSY!G:G,MATCH(INSERITO_KIM[[#This Row],[Codice Comsy Tecnico Attuale]],COMSY!E:E,0))</f>
        <v>Raffaele</v>
      </c>
      <c r="P82" s="42" t="str">
        <f>+INDEX(PIANI!B:B,MATCH(INSERITO_KIM[[#This Row],[Valore]],PIANI!A:A,0))</f>
        <v>MOBILE</v>
      </c>
      <c r="Q82" s="42">
        <f>+INDEX(PIANI!D:D,MATCH(INSERITO_KIM[[#This Row],[Valore]],PIANI!A:A,0))</f>
        <v>0</v>
      </c>
    </row>
    <row r="83" spans="1:17" x14ac:dyDescent="0.3">
      <c r="A83" s="42" t="s">
        <v>1045</v>
      </c>
      <c r="B83" s="42" t="s">
        <v>1046</v>
      </c>
      <c r="C83" s="42" t="s">
        <v>16</v>
      </c>
      <c r="D83">
        <v>24375144</v>
      </c>
      <c r="E83" s="42" t="s">
        <v>1047</v>
      </c>
      <c r="F83" s="42" t="s">
        <v>713</v>
      </c>
      <c r="G83">
        <v>30</v>
      </c>
      <c r="H83" s="42" t="s">
        <v>21</v>
      </c>
      <c r="I83">
        <v>19.95</v>
      </c>
      <c r="J83" s="42" t="s">
        <v>17</v>
      </c>
      <c r="K83" s="42" t="s">
        <v>17</v>
      </c>
      <c r="L83" s="10">
        <v>45906</v>
      </c>
      <c r="M83" s="42" t="s">
        <v>1038</v>
      </c>
      <c r="N83" s="42" t="str">
        <f>+INDEX(COMSY!F:F,MATCH(INSERITO_KIM[[#This Row],[Codice Comsy Tecnico Attuale]],COMSY!E:E,0))</f>
        <v>MONDO TELEFONO 2.0 DI BORRINO GIANPIERO</v>
      </c>
      <c r="O83" s="42" t="str">
        <f>+INDEX(COMSY!G:G,MATCH(INSERITO_KIM[[#This Row],[Codice Comsy Tecnico Attuale]],COMSY!E:E,0))</f>
        <v>Giacomo</v>
      </c>
      <c r="P83" s="42" t="str">
        <f>+INDEX(PIANI!B:B,MATCH(INSERITO_KIM[[#This Row],[Valore]],PIANI!A:A,0))</f>
        <v>MOBILE</v>
      </c>
      <c r="Q83" s="42">
        <f>+INDEX(PIANI!D:D,MATCH(INSERITO_KIM[[#This Row],[Valore]],PIANI!A:A,0))</f>
        <v>0</v>
      </c>
    </row>
    <row r="84" spans="1:17" x14ac:dyDescent="0.3">
      <c r="A84" s="42" t="s">
        <v>987</v>
      </c>
      <c r="B84" s="42" t="s">
        <v>988</v>
      </c>
      <c r="C84" s="42" t="s">
        <v>16</v>
      </c>
      <c r="D84">
        <v>24375407</v>
      </c>
      <c r="E84" s="42" t="s">
        <v>989</v>
      </c>
      <c r="F84" s="42" t="s">
        <v>114</v>
      </c>
      <c r="G84">
        <v>20</v>
      </c>
      <c r="H84" s="42" t="s">
        <v>700</v>
      </c>
      <c r="I84">
        <v>33.9</v>
      </c>
      <c r="J84" s="42" t="s">
        <v>14</v>
      </c>
      <c r="K84" s="42" t="s">
        <v>877</v>
      </c>
      <c r="L84" s="10">
        <v>45906</v>
      </c>
      <c r="M84" s="42" t="s">
        <v>30</v>
      </c>
      <c r="N84" s="42" t="str">
        <f>+INDEX(COMSY!F:F,MATCH(INSERITO_KIM[[#This Row],[Codice Comsy Tecnico Attuale]],COMSY!E:E,0))</f>
        <v>MILILLO GIUSEPPE</v>
      </c>
      <c r="O84" s="42" t="str">
        <f>+INDEX(COMSY!G:G,MATCH(INSERITO_KIM[[#This Row],[Codice Comsy Tecnico Attuale]],COMSY!E:E,0))</f>
        <v>Giacomo</v>
      </c>
      <c r="P84" s="42" t="str">
        <f>+INDEX(PIANI!B:B,MATCH(INSERITO_KIM[[#This Row],[Valore]],PIANI!A:A,0))</f>
        <v>MOBILE</v>
      </c>
      <c r="Q84" s="42">
        <f>+INDEX(PIANI!D:D,MATCH(INSERITO_KIM[[#This Row],[Valore]],PIANI!A:A,0))</f>
        <v>20</v>
      </c>
    </row>
    <row r="85" spans="1:17" x14ac:dyDescent="0.3">
      <c r="A85" s="42" t="s">
        <v>838</v>
      </c>
      <c r="B85" s="42" t="s">
        <v>839</v>
      </c>
      <c r="C85" s="42" t="s">
        <v>16</v>
      </c>
      <c r="D85">
        <v>24362768</v>
      </c>
      <c r="E85" s="42" t="s">
        <v>840</v>
      </c>
      <c r="F85" s="42" t="s">
        <v>64</v>
      </c>
      <c r="G85">
        <v>20</v>
      </c>
      <c r="H85" s="42" t="s">
        <v>21</v>
      </c>
      <c r="I85">
        <v>8.9499999999999993</v>
      </c>
      <c r="J85" s="42" t="s">
        <v>17</v>
      </c>
      <c r="K85" s="42" t="s">
        <v>17</v>
      </c>
      <c r="L85" s="10">
        <v>45901</v>
      </c>
      <c r="M85" s="42" t="s">
        <v>30</v>
      </c>
      <c r="N85" s="42" t="str">
        <f>+INDEX(COMSY!F:F,MATCH(INSERITO_KIM[[#This Row],[Codice Comsy Tecnico Attuale]],COMSY!E:E,0))</f>
        <v>MEDIA CENTER DI LUCA BARBERIO</v>
      </c>
      <c r="O85" s="42" t="str">
        <f>+INDEX(COMSY!G:G,MATCH(INSERITO_KIM[[#This Row],[Codice Comsy Tecnico Attuale]],COMSY!E:E,0))</f>
        <v>Giacomo</v>
      </c>
      <c r="P85" s="42" t="str">
        <f>+INDEX(PIANI!B:B,MATCH(INSERITO_KIM[[#This Row],[Valore]],PIANI!A:A,0))</f>
        <v>MOBILE</v>
      </c>
      <c r="Q85" s="42">
        <f>+INDEX(PIANI!D:D,MATCH(INSERITO_KIM[[#This Row],[Valore]],PIANI!A:A,0))</f>
        <v>20</v>
      </c>
    </row>
    <row r="86" spans="1:17" x14ac:dyDescent="0.3">
      <c r="A86" s="42" t="s">
        <v>1210</v>
      </c>
      <c r="B86" s="42" t="s">
        <v>1211</v>
      </c>
      <c r="C86" s="42" t="s">
        <v>16</v>
      </c>
      <c r="D86">
        <v>24384367</v>
      </c>
      <c r="E86" s="42" t="s">
        <v>1212</v>
      </c>
      <c r="F86" s="42" t="s">
        <v>64</v>
      </c>
      <c r="G86">
        <v>40</v>
      </c>
      <c r="H86" s="42" t="s">
        <v>700</v>
      </c>
      <c r="I86">
        <v>43.85</v>
      </c>
      <c r="J86" s="42" t="s">
        <v>14</v>
      </c>
      <c r="K86" s="42" t="s">
        <v>877</v>
      </c>
      <c r="L86" s="10">
        <v>45910</v>
      </c>
      <c r="M86" s="42" t="s">
        <v>30</v>
      </c>
      <c r="N86" s="42" t="str">
        <f>+INDEX(COMSY!F:F,MATCH(INSERITO_KIM[[#This Row],[Codice Comsy Tecnico Attuale]],COMSY!E:E,0))</f>
        <v>MEDIA CENTER DI LUCA BARBERIO</v>
      </c>
      <c r="O86" s="42" t="str">
        <f>+INDEX(COMSY!G:G,MATCH(INSERITO_KIM[[#This Row],[Codice Comsy Tecnico Attuale]],COMSY!E:E,0))</f>
        <v>Giacomo</v>
      </c>
      <c r="P86" s="42" t="str">
        <f>+INDEX(PIANI!B:B,MATCH(INSERITO_KIM[[#This Row],[Valore]],PIANI!A:A,0))</f>
        <v>MOBILE</v>
      </c>
      <c r="Q86" s="42">
        <f>+INDEX(PIANI!D:D,MATCH(INSERITO_KIM[[#This Row],[Valore]],PIANI!A:A,0))</f>
        <v>20</v>
      </c>
    </row>
    <row r="87" spans="1:17" x14ac:dyDescent="0.3">
      <c r="A87" s="42" t="s">
        <v>1210</v>
      </c>
      <c r="B87" s="42" t="s">
        <v>1211</v>
      </c>
      <c r="C87" s="42" t="s">
        <v>16</v>
      </c>
      <c r="D87">
        <v>24384367</v>
      </c>
      <c r="E87" s="42" t="s">
        <v>1212</v>
      </c>
      <c r="F87" s="42" t="s">
        <v>64</v>
      </c>
      <c r="G87">
        <v>40</v>
      </c>
      <c r="H87" s="42" t="s">
        <v>700</v>
      </c>
      <c r="I87">
        <v>43.85</v>
      </c>
      <c r="J87" s="42" t="s">
        <v>14</v>
      </c>
      <c r="K87" s="42" t="s">
        <v>877</v>
      </c>
      <c r="L87" s="10">
        <v>45910</v>
      </c>
      <c r="M87" s="42" t="s">
        <v>30</v>
      </c>
      <c r="N87" s="42" t="str">
        <f>+INDEX(COMSY!F:F,MATCH(INSERITO_KIM[[#This Row],[Codice Comsy Tecnico Attuale]],COMSY!E:E,0))</f>
        <v>MEDIA CENTER DI LUCA BARBERIO</v>
      </c>
      <c r="O87" s="42" t="str">
        <f>+INDEX(COMSY!G:G,MATCH(INSERITO_KIM[[#This Row],[Codice Comsy Tecnico Attuale]],COMSY!E:E,0))</f>
        <v>Giacomo</v>
      </c>
      <c r="P87" s="42" t="str">
        <f>+INDEX(PIANI!B:B,MATCH(INSERITO_KIM[[#This Row],[Valore]],PIANI!A:A,0))</f>
        <v>MOBILE</v>
      </c>
      <c r="Q87" s="42">
        <f>+INDEX(PIANI!D:D,MATCH(INSERITO_KIM[[#This Row],[Valore]],PIANI!A:A,0))</f>
        <v>20</v>
      </c>
    </row>
    <row r="88" spans="1:17" x14ac:dyDescent="0.3">
      <c r="A88" s="42" t="s">
        <v>950</v>
      </c>
      <c r="B88" s="42" t="s">
        <v>951</v>
      </c>
      <c r="C88" s="42" t="s">
        <v>16</v>
      </c>
      <c r="D88">
        <v>24367643</v>
      </c>
      <c r="E88" s="42" t="s">
        <v>952</v>
      </c>
      <c r="F88" s="42" t="s">
        <v>62</v>
      </c>
      <c r="G88">
        <v>20</v>
      </c>
      <c r="H88" s="42" t="s">
        <v>21</v>
      </c>
      <c r="I88">
        <v>8.9499999999999993</v>
      </c>
      <c r="J88" s="42" t="s">
        <v>17</v>
      </c>
      <c r="K88" s="42" t="s">
        <v>17</v>
      </c>
      <c r="L88" s="10">
        <v>45903</v>
      </c>
      <c r="M88" s="42" t="s">
        <v>30</v>
      </c>
      <c r="N88" s="42" t="str">
        <f>+INDEX(COMSY!F:F,MATCH(INSERITO_KIM[[#This Row],[Codice Comsy Tecnico Attuale]],COMSY!E:E,0))</f>
        <v xml:space="preserve">INFOPOINT DI DEL VECCHIO ROSA E CORTIGIANO CARMELA </v>
      </c>
      <c r="O88" s="42" t="str">
        <f>+INDEX(COMSY!G:G,MATCH(INSERITO_KIM[[#This Row],[Codice Comsy Tecnico Attuale]],COMSY!E:E,0))</f>
        <v>Giacomo</v>
      </c>
      <c r="P88" s="42" t="str">
        <f>+INDEX(PIANI!B:B,MATCH(INSERITO_KIM[[#This Row],[Valore]],PIANI!A:A,0))</f>
        <v>MOBILE</v>
      </c>
      <c r="Q88" s="42">
        <f>+INDEX(PIANI!D:D,MATCH(INSERITO_KIM[[#This Row],[Valore]],PIANI!A:A,0))</f>
        <v>20</v>
      </c>
    </row>
    <row r="89" spans="1:17" x14ac:dyDescent="0.3">
      <c r="A89" s="42" t="s">
        <v>1155</v>
      </c>
      <c r="B89" s="42" t="s">
        <v>1156</v>
      </c>
      <c r="C89" s="42" t="s">
        <v>16</v>
      </c>
      <c r="D89">
        <v>24376915</v>
      </c>
      <c r="E89" s="42" t="s">
        <v>1157</v>
      </c>
      <c r="F89" s="42" t="s">
        <v>62</v>
      </c>
      <c r="G89">
        <v>20</v>
      </c>
      <c r="H89" s="42" t="s">
        <v>21</v>
      </c>
      <c r="I89">
        <v>9.9499999999999993</v>
      </c>
      <c r="J89" s="42" t="s">
        <v>17</v>
      </c>
      <c r="K89" s="42" t="s">
        <v>17</v>
      </c>
      <c r="L89" s="10">
        <v>45908</v>
      </c>
      <c r="M89" s="42" t="s">
        <v>30</v>
      </c>
      <c r="N89" s="42" t="str">
        <f>+INDEX(COMSY!F:F,MATCH(INSERITO_KIM[[#This Row],[Codice Comsy Tecnico Attuale]],COMSY!E:E,0))</f>
        <v xml:space="preserve">INFOPOINT DI DEL VECCHIO ROSA E CORTIGIANO CARMELA </v>
      </c>
      <c r="O89" s="42" t="str">
        <f>+INDEX(COMSY!G:G,MATCH(INSERITO_KIM[[#This Row],[Codice Comsy Tecnico Attuale]],COMSY!E:E,0))</f>
        <v>Giacomo</v>
      </c>
      <c r="P89" s="42" t="str">
        <f>+INDEX(PIANI!B:B,MATCH(INSERITO_KIM[[#This Row],[Valore]],PIANI!A:A,0))</f>
        <v>MOBILE</v>
      </c>
      <c r="Q89" s="42">
        <f>+INDEX(PIANI!D:D,MATCH(INSERITO_KIM[[#This Row],[Valore]],PIANI!A:A,0))</f>
        <v>20</v>
      </c>
    </row>
    <row r="90" spans="1:17" x14ac:dyDescent="0.3">
      <c r="A90" s="42" t="s">
        <v>990</v>
      </c>
      <c r="B90" s="42" t="s">
        <v>991</v>
      </c>
      <c r="C90" s="42" t="s">
        <v>16</v>
      </c>
      <c r="D90">
        <v>24372278</v>
      </c>
      <c r="E90" s="42" t="s">
        <v>992</v>
      </c>
      <c r="F90" s="42" t="s">
        <v>82</v>
      </c>
      <c r="G90">
        <v>20</v>
      </c>
      <c r="H90" s="42" t="s">
        <v>700</v>
      </c>
      <c r="I90">
        <v>33.9</v>
      </c>
      <c r="J90" s="42" t="s">
        <v>14</v>
      </c>
      <c r="K90" s="42" t="s">
        <v>780</v>
      </c>
      <c r="L90" s="10">
        <v>45904</v>
      </c>
      <c r="M90" s="42" t="s">
        <v>30</v>
      </c>
      <c r="N90" s="42" t="str">
        <f>+INDEX(COMSY!F:F,MATCH(INSERITO_KIM[[#This Row],[Codice Comsy Tecnico Attuale]],COMSY!E:E,0))</f>
        <v>BOXSTORE DI SAVINO</v>
      </c>
      <c r="O90" s="42" t="str">
        <f>+INDEX(COMSY!G:G,MATCH(INSERITO_KIM[[#This Row],[Codice Comsy Tecnico Attuale]],COMSY!E:E,0))</f>
        <v>Giacomo</v>
      </c>
      <c r="P90" s="42" t="str">
        <f>+INDEX(PIANI!B:B,MATCH(INSERITO_KIM[[#This Row],[Valore]],PIANI!A:A,0))</f>
        <v>MOBILE</v>
      </c>
      <c r="Q90" s="42">
        <f>+INDEX(PIANI!D:D,MATCH(INSERITO_KIM[[#This Row],[Valore]],PIANI!A:A,0))</f>
        <v>20</v>
      </c>
    </row>
    <row r="91" spans="1:17" x14ac:dyDescent="0.3">
      <c r="A91" s="42" t="s">
        <v>1222</v>
      </c>
      <c r="B91" s="42" t="s">
        <v>1223</v>
      </c>
      <c r="C91" s="42" t="s">
        <v>16</v>
      </c>
      <c r="D91">
        <v>21858538</v>
      </c>
      <c r="E91" s="42" t="s">
        <v>1224</v>
      </c>
      <c r="F91" s="42" t="s">
        <v>82</v>
      </c>
      <c r="G91">
        <v>20</v>
      </c>
      <c r="H91" s="42" t="s">
        <v>21</v>
      </c>
      <c r="I91">
        <v>9.9499999999999993</v>
      </c>
      <c r="J91" s="42" t="s">
        <v>17</v>
      </c>
      <c r="K91" s="42" t="s">
        <v>17</v>
      </c>
      <c r="L91" s="10">
        <v>45910</v>
      </c>
      <c r="M91" s="42" t="s">
        <v>30</v>
      </c>
      <c r="N91" s="42" t="str">
        <f>+INDEX(COMSY!F:F,MATCH(INSERITO_KIM[[#This Row],[Codice Comsy Tecnico Attuale]],COMSY!E:E,0))</f>
        <v>BOXSTORE DI SAVINO</v>
      </c>
      <c r="O91" s="42" t="str">
        <f>+INDEX(COMSY!G:G,MATCH(INSERITO_KIM[[#This Row],[Codice Comsy Tecnico Attuale]],COMSY!E:E,0))</f>
        <v>Giacomo</v>
      </c>
      <c r="P91" s="42" t="str">
        <f>+INDEX(PIANI!B:B,MATCH(INSERITO_KIM[[#This Row],[Valore]],PIANI!A:A,0))</f>
        <v>MOBILE</v>
      </c>
      <c r="Q91" s="42">
        <f>+INDEX(PIANI!D:D,MATCH(INSERITO_KIM[[#This Row],[Valore]],PIANI!A:A,0))</f>
        <v>20</v>
      </c>
    </row>
    <row r="92" spans="1:17" x14ac:dyDescent="0.3">
      <c r="A92" s="42" t="s">
        <v>1253</v>
      </c>
      <c r="B92" s="42" t="s">
        <v>1254</v>
      </c>
      <c r="C92" s="42" t="s">
        <v>16</v>
      </c>
      <c r="D92">
        <v>24390378</v>
      </c>
      <c r="E92" s="42" t="s">
        <v>1255</v>
      </c>
      <c r="F92" s="42" t="s">
        <v>52</v>
      </c>
      <c r="G92">
        <v>20</v>
      </c>
      <c r="H92" s="42" t="s">
        <v>700</v>
      </c>
      <c r="I92">
        <v>33.9</v>
      </c>
      <c r="J92" s="42" t="s">
        <v>14</v>
      </c>
      <c r="K92" s="42" t="s">
        <v>877</v>
      </c>
      <c r="L92" s="10">
        <v>45911</v>
      </c>
      <c r="M92" s="42" t="s">
        <v>30</v>
      </c>
      <c r="N92" s="42" t="str">
        <f>+INDEX(COMSY!F:F,MATCH(INSERITO_KIM[[#This Row],[Codice Comsy Tecnico Attuale]],COMSY!E:E,0))</f>
        <v>HUB 98 di DRAGONE GIUSEPPE</v>
      </c>
      <c r="O92" s="42" t="str">
        <f>+INDEX(COMSY!G:G,MATCH(INSERITO_KIM[[#This Row],[Codice Comsy Tecnico Attuale]],COMSY!E:E,0))</f>
        <v>Raffaele</v>
      </c>
      <c r="P92" s="42" t="str">
        <f>+INDEX(PIANI!B:B,MATCH(INSERITO_KIM[[#This Row],[Valore]],PIANI!A:A,0))</f>
        <v>MOBILE</v>
      </c>
      <c r="Q92" s="42">
        <f>+INDEX(PIANI!D:D,MATCH(INSERITO_KIM[[#This Row],[Valore]],PIANI!A:A,0))</f>
        <v>20</v>
      </c>
    </row>
    <row r="93" spans="1:17" x14ac:dyDescent="0.3">
      <c r="A93" s="42" t="s">
        <v>1307</v>
      </c>
      <c r="B93" s="42" t="s">
        <v>1308</v>
      </c>
      <c r="C93" s="42" t="s">
        <v>16</v>
      </c>
      <c r="D93">
        <v>24393343</v>
      </c>
      <c r="E93" s="42" t="s">
        <v>1309</v>
      </c>
      <c r="F93" s="42" t="s">
        <v>52</v>
      </c>
      <c r="G93">
        <v>20</v>
      </c>
      <c r="H93" s="42" t="s">
        <v>700</v>
      </c>
      <c r="I93">
        <v>33.9</v>
      </c>
      <c r="J93" s="42" t="s">
        <v>14</v>
      </c>
      <c r="K93" s="42" t="s">
        <v>877</v>
      </c>
      <c r="L93" s="10">
        <v>45912</v>
      </c>
      <c r="M93" s="42" t="s">
        <v>30</v>
      </c>
      <c r="N93" s="42" t="str">
        <f>+INDEX(COMSY!F:F,MATCH(INSERITO_KIM[[#This Row],[Codice Comsy Tecnico Attuale]],COMSY!E:E,0))</f>
        <v>HUB 98 di DRAGONE GIUSEPPE</v>
      </c>
      <c r="O93" s="42" t="str">
        <f>+INDEX(COMSY!G:G,MATCH(INSERITO_KIM[[#This Row],[Codice Comsy Tecnico Attuale]],COMSY!E:E,0))</f>
        <v>Raffaele</v>
      </c>
      <c r="P93" s="42" t="str">
        <f>+INDEX(PIANI!B:B,MATCH(INSERITO_KIM[[#This Row],[Valore]],PIANI!A:A,0))</f>
        <v>MOBILE</v>
      </c>
      <c r="Q93" s="42">
        <f>+INDEX(PIANI!D:D,MATCH(INSERITO_KIM[[#This Row],[Valore]],PIANI!A:A,0))</f>
        <v>20</v>
      </c>
    </row>
    <row r="94" spans="1:17" x14ac:dyDescent="0.3">
      <c r="A94" s="42" t="s">
        <v>953</v>
      </c>
      <c r="B94" s="42" t="s">
        <v>954</v>
      </c>
      <c r="C94" s="42" t="s">
        <v>16</v>
      </c>
      <c r="D94">
        <v>24369469</v>
      </c>
      <c r="E94" s="42" t="s">
        <v>955</v>
      </c>
      <c r="F94" s="42" t="s">
        <v>620</v>
      </c>
      <c r="G94">
        <v>20</v>
      </c>
      <c r="H94" s="42" t="s">
        <v>21</v>
      </c>
      <c r="I94">
        <v>8.9499999999999993</v>
      </c>
      <c r="J94" s="42" t="s">
        <v>17</v>
      </c>
      <c r="K94" s="42" t="s">
        <v>17</v>
      </c>
      <c r="L94" s="10">
        <v>45903</v>
      </c>
      <c r="M94" s="42" t="s">
        <v>30</v>
      </c>
      <c r="N94" s="42" t="str">
        <f>+INDEX(COMSY!F:F,MATCH(INSERITO_KIM[[#This Row],[Codice Comsy Tecnico Attuale]],COMSY!E:E,0))</f>
        <v>NASTI TECHNO STORE DI NASTI PIETRO</v>
      </c>
      <c r="O94" s="42" t="str">
        <f>+INDEX(COMSY!G:G,MATCH(INSERITO_KIM[[#This Row],[Codice Comsy Tecnico Attuale]],COMSY!E:E,0))</f>
        <v>Giacomo</v>
      </c>
      <c r="P94" s="42" t="str">
        <f>+INDEX(PIANI!B:B,MATCH(INSERITO_KIM[[#This Row],[Valore]],PIANI!A:A,0))</f>
        <v>MOBILE</v>
      </c>
      <c r="Q94" s="42">
        <f>+INDEX(PIANI!D:D,MATCH(INSERITO_KIM[[#This Row],[Valore]],PIANI!A:A,0))</f>
        <v>20</v>
      </c>
    </row>
    <row r="95" spans="1:17" x14ac:dyDescent="0.3">
      <c r="A95" s="42" t="s">
        <v>904</v>
      </c>
      <c r="B95" s="42" t="s">
        <v>905</v>
      </c>
      <c r="C95" s="42" t="s">
        <v>16</v>
      </c>
      <c r="D95">
        <v>24364230</v>
      </c>
      <c r="E95" s="42" t="s">
        <v>906</v>
      </c>
      <c r="F95" s="42" t="s">
        <v>664</v>
      </c>
      <c r="G95">
        <v>20</v>
      </c>
      <c r="H95" s="42" t="s">
        <v>21</v>
      </c>
      <c r="I95">
        <v>8.9499999999999993</v>
      </c>
      <c r="J95" s="42" t="s">
        <v>17</v>
      </c>
      <c r="K95" s="42" t="s">
        <v>17</v>
      </c>
      <c r="L95" s="10">
        <v>45902</v>
      </c>
      <c r="M95" s="42" t="s">
        <v>30</v>
      </c>
      <c r="N95" s="42" t="str">
        <f>+INDEX(COMSY!F:F,MATCH(INSERITO_KIM[[#This Row],[Codice Comsy Tecnico Attuale]],COMSY!E:E,0))</f>
        <v>DECOM</v>
      </c>
      <c r="O95" s="42" t="str">
        <f>+INDEX(COMSY!G:G,MATCH(INSERITO_KIM[[#This Row],[Codice Comsy Tecnico Attuale]],COMSY!E:E,0))</f>
        <v>Giacomo</v>
      </c>
      <c r="P95" s="42" t="str">
        <f>+INDEX(PIANI!B:B,MATCH(INSERITO_KIM[[#This Row],[Valore]],PIANI!A:A,0))</f>
        <v>MOBILE</v>
      </c>
      <c r="Q95" s="42">
        <f>+INDEX(PIANI!D:D,MATCH(INSERITO_KIM[[#This Row],[Valore]],PIANI!A:A,0))</f>
        <v>20</v>
      </c>
    </row>
    <row r="96" spans="1:17" x14ac:dyDescent="0.3">
      <c r="A96" s="42" t="s">
        <v>1048</v>
      </c>
      <c r="B96" s="42" t="s">
        <v>1049</v>
      </c>
      <c r="C96" s="42" t="s">
        <v>16</v>
      </c>
      <c r="D96">
        <v>24372589</v>
      </c>
      <c r="E96" s="42" t="s">
        <v>1050</v>
      </c>
      <c r="F96" s="42" t="s">
        <v>84</v>
      </c>
      <c r="G96">
        <v>20</v>
      </c>
      <c r="H96" s="42" t="s">
        <v>21</v>
      </c>
      <c r="I96">
        <v>9.9499999999999993</v>
      </c>
      <c r="J96" s="42" t="s">
        <v>17</v>
      </c>
      <c r="K96" s="42" t="s">
        <v>17</v>
      </c>
      <c r="L96" s="10">
        <v>45905</v>
      </c>
      <c r="M96" s="42" t="s">
        <v>30</v>
      </c>
      <c r="N96" s="42" t="str">
        <f>+INDEX(COMSY!F:F,MATCH(INSERITO_KIM[[#This Row],[Codice Comsy Tecnico Attuale]],COMSY!E:E,0))</f>
        <v>LEVAPHONE DI LEVA ANTONIO</v>
      </c>
      <c r="O96" s="42" t="str">
        <f>+INDEX(COMSY!G:G,MATCH(INSERITO_KIM[[#This Row],[Codice Comsy Tecnico Attuale]],COMSY!E:E,0))</f>
        <v>Giacomo</v>
      </c>
      <c r="P96" s="42" t="str">
        <f>+INDEX(PIANI!B:B,MATCH(INSERITO_KIM[[#This Row],[Valore]],PIANI!A:A,0))</f>
        <v>MOBILE</v>
      </c>
      <c r="Q96" s="42">
        <f>+INDEX(PIANI!D:D,MATCH(INSERITO_KIM[[#This Row],[Valore]],PIANI!A:A,0))</f>
        <v>20</v>
      </c>
    </row>
    <row r="97" spans="1:17" x14ac:dyDescent="0.3">
      <c r="A97" s="42" t="s">
        <v>1188</v>
      </c>
      <c r="B97" s="42" t="s">
        <v>1189</v>
      </c>
      <c r="C97" s="42" t="s">
        <v>16</v>
      </c>
      <c r="D97">
        <v>24383309</v>
      </c>
      <c r="E97" s="42" t="s">
        <v>1190</v>
      </c>
      <c r="F97" s="42" t="s">
        <v>751</v>
      </c>
      <c r="G97">
        <v>20</v>
      </c>
      <c r="H97" s="42" t="s">
        <v>700</v>
      </c>
      <c r="I97">
        <v>35.9</v>
      </c>
      <c r="J97" s="42" t="s">
        <v>14</v>
      </c>
      <c r="K97" s="42" t="s">
        <v>780</v>
      </c>
      <c r="L97" s="10">
        <v>45909</v>
      </c>
      <c r="M97" s="42" t="s">
        <v>30</v>
      </c>
      <c r="N97" s="42" t="str">
        <f>+INDEX(COMSY!F:F,MATCH(INSERITO_KIM[[#This Row],[Codice Comsy Tecnico Attuale]],COMSY!E:E,0))</f>
        <v>S.I.P.R.A. ITALIA SAS DI LASALVIA M. &amp; MONTERISI G.</v>
      </c>
      <c r="O97" s="42" t="str">
        <f>+INDEX(COMSY!G:G,MATCH(INSERITO_KIM[[#This Row],[Codice Comsy Tecnico Attuale]],COMSY!E:E,0))</f>
        <v>Luigi</v>
      </c>
      <c r="P97" s="42" t="str">
        <f>+INDEX(PIANI!B:B,MATCH(INSERITO_KIM[[#This Row],[Valore]],PIANI!A:A,0))</f>
        <v>MOBILE</v>
      </c>
      <c r="Q97" s="42">
        <f>+INDEX(PIANI!D:D,MATCH(INSERITO_KIM[[#This Row],[Valore]],PIANI!A:A,0))</f>
        <v>20</v>
      </c>
    </row>
    <row r="98" spans="1:17" x14ac:dyDescent="0.3">
      <c r="A98" s="42" t="s">
        <v>841</v>
      </c>
      <c r="B98" s="42" t="s">
        <v>842</v>
      </c>
      <c r="C98" s="42" t="s">
        <v>16</v>
      </c>
      <c r="D98">
        <v>24362649</v>
      </c>
      <c r="E98" s="42" t="s">
        <v>843</v>
      </c>
      <c r="F98" s="42" t="s">
        <v>62</v>
      </c>
      <c r="G98">
        <v>20</v>
      </c>
      <c r="H98" s="42" t="s">
        <v>21</v>
      </c>
      <c r="I98">
        <v>8.9499999999999993</v>
      </c>
      <c r="J98" s="42" t="s">
        <v>17</v>
      </c>
      <c r="K98" s="42" t="s">
        <v>17</v>
      </c>
      <c r="L98" s="10">
        <v>45901</v>
      </c>
      <c r="M98" s="42" t="s">
        <v>30</v>
      </c>
      <c r="N98" s="42" t="str">
        <f>+INDEX(COMSY!F:F,MATCH(INSERITO_KIM[[#This Row],[Codice Comsy Tecnico Attuale]],COMSY!E:E,0))</f>
        <v xml:space="preserve">INFOPOINT DI DEL VECCHIO ROSA E CORTIGIANO CARMELA </v>
      </c>
      <c r="O98" s="42" t="str">
        <f>+INDEX(COMSY!G:G,MATCH(INSERITO_KIM[[#This Row],[Codice Comsy Tecnico Attuale]],COMSY!E:E,0))</f>
        <v>Giacomo</v>
      </c>
      <c r="P98" s="42" t="str">
        <f>+INDEX(PIANI!B:B,MATCH(INSERITO_KIM[[#This Row],[Valore]],PIANI!A:A,0))</f>
        <v>MOBILE</v>
      </c>
      <c r="Q98" s="42">
        <f>+INDEX(PIANI!D:D,MATCH(INSERITO_KIM[[#This Row],[Valore]],PIANI!A:A,0))</f>
        <v>20</v>
      </c>
    </row>
    <row r="99" spans="1:17" x14ac:dyDescent="0.3">
      <c r="A99" s="42" t="s">
        <v>1158</v>
      </c>
      <c r="B99" s="42" t="s">
        <v>1159</v>
      </c>
      <c r="C99" s="42" t="s">
        <v>16</v>
      </c>
      <c r="D99">
        <v>24377744</v>
      </c>
      <c r="E99" s="42" t="s">
        <v>1160</v>
      </c>
      <c r="F99" s="42" t="s">
        <v>62</v>
      </c>
      <c r="G99">
        <v>20</v>
      </c>
      <c r="H99" s="42" t="s">
        <v>21</v>
      </c>
      <c r="I99">
        <v>9.9499999999999993</v>
      </c>
      <c r="J99" s="42" t="s">
        <v>17</v>
      </c>
      <c r="K99" s="42" t="s">
        <v>17</v>
      </c>
      <c r="L99" s="10">
        <v>45908</v>
      </c>
      <c r="M99" s="42" t="s">
        <v>30</v>
      </c>
      <c r="N99" s="42" t="str">
        <f>+INDEX(COMSY!F:F,MATCH(INSERITO_KIM[[#This Row],[Codice Comsy Tecnico Attuale]],COMSY!E:E,0))</f>
        <v xml:space="preserve">INFOPOINT DI DEL VECCHIO ROSA E CORTIGIANO CARMELA </v>
      </c>
      <c r="O99" s="42" t="str">
        <f>+INDEX(COMSY!G:G,MATCH(INSERITO_KIM[[#This Row],[Codice Comsy Tecnico Attuale]],COMSY!E:E,0))</f>
        <v>Giacomo</v>
      </c>
      <c r="P99" s="42" t="str">
        <f>+INDEX(PIANI!B:B,MATCH(INSERITO_KIM[[#This Row],[Valore]],PIANI!A:A,0))</f>
        <v>MOBILE</v>
      </c>
      <c r="Q99" s="42">
        <f>+INDEX(PIANI!D:D,MATCH(INSERITO_KIM[[#This Row],[Valore]],PIANI!A:A,0))</f>
        <v>20</v>
      </c>
    </row>
    <row r="100" spans="1:17" x14ac:dyDescent="0.3">
      <c r="A100" s="42" t="s">
        <v>1051</v>
      </c>
      <c r="B100" s="42" t="s">
        <v>1052</v>
      </c>
      <c r="C100" s="42" t="s">
        <v>16</v>
      </c>
      <c r="D100">
        <v>24374440</v>
      </c>
      <c r="E100" s="42" t="s">
        <v>1053</v>
      </c>
      <c r="F100" s="42" t="s">
        <v>75</v>
      </c>
      <c r="G100">
        <v>20</v>
      </c>
      <c r="H100" s="42" t="s">
        <v>700</v>
      </c>
      <c r="I100">
        <v>35.9</v>
      </c>
      <c r="J100" s="42" t="s">
        <v>14</v>
      </c>
      <c r="K100" s="42" t="s">
        <v>877</v>
      </c>
      <c r="L100" s="10">
        <v>45905</v>
      </c>
      <c r="M100" s="42" t="s">
        <v>30</v>
      </c>
      <c r="N100" s="42" t="str">
        <f>+INDEX(COMSY!F:F,MATCH(INSERITO_KIM[[#This Row],[Codice Comsy Tecnico Attuale]],COMSY!E:E,0))</f>
        <v xml:space="preserve">DE TOMMASO ANTONIO         </v>
      </c>
      <c r="O100" s="42" t="str">
        <f>+INDEX(COMSY!G:G,MATCH(INSERITO_KIM[[#This Row],[Codice Comsy Tecnico Attuale]],COMSY!E:E,0))</f>
        <v>Giacomo</v>
      </c>
      <c r="P100" s="42" t="str">
        <f>+INDEX(PIANI!B:B,MATCH(INSERITO_KIM[[#This Row],[Valore]],PIANI!A:A,0))</f>
        <v>MOBILE</v>
      </c>
      <c r="Q100" s="42">
        <f>+INDEX(PIANI!D:D,MATCH(INSERITO_KIM[[#This Row],[Valore]],PIANI!A:A,0))</f>
        <v>20</v>
      </c>
    </row>
    <row r="101" spans="1:17" x14ac:dyDescent="0.3">
      <c r="A101" s="42" t="s">
        <v>1128</v>
      </c>
      <c r="B101" s="42" t="s">
        <v>1129</v>
      </c>
      <c r="C101" s="42" t="s">
        <v>16</v>
      </c>
      <c r="D101">
        <v>24379477</v>
      </c>
      <c r="E101" s="42" t="s">
        <v>1130</v>
      </c>
      <c r="F101" s="42" t="s">
        <v>65</v>
      </c>
      <c r="G101">
        <v>20</v>
      </c>
      <c r="H101" s="42" t="s">
        <v>700</v>
      </c>
      <c r="I101">
        <v>33.9</v>
      </c>
      <c r="J101" s="42" t="s">
        <v>14</v>
      </c>
      <c r="K101" s="42" t="s">
        <v>877</v>
      </c>
      <c r="L101" s="10">
        <v>45908</v>
      </c>
      <c r="M101" s="42" t="s">
        <v>30</v>
      </c>
      <c r="N101" s="42" t="str">
        <f>+INDEX(COMSY!F:F,MATCH(INSERITO_KIM[[#This Row],[Codice Comsy Tecnico Attuale]],COMSY!E:E,0))</f>
        <v xml:space="preserve">S.O.S. SMARTPHONE DI GERARDO </v>
      </c>
      <c r="O101" s="42" t="str">
        <f>+INDEX(COMSY!G:G,MATCH(INSERITO_KIM[[#This Row],[Codice Comsy Tecnico Attuale]],COMSY!E:E,0))</f>
        <v>Giacomo</v>
      </c>
      <c r="P101" s="42" t="str">
        <f>+INDEX(PIANI!B:B,MATCH(INSERITO_KIM[[#This Row],[Valore]],PIANI!A:A,0))</f>
        <v>MOBILE</v>
      </c>
      <c r="Q101" s="42">
        <f>+INDEX(PIANI!D:D,MATCH(INSERITO_KIM[[#This Row],[Valore]],PIANI!A:A,0))</f>
        <v>20</v>
      </c>
    </row>
    <row r="102" spans="1:17" x14ac:dyDescent="0.3">
      <c r="A102" s="42" t="s">
        <v>1334</v>
      </c>
      <c r="B102" s="42" t="s">
        <v>1335</v>
      </c>
      <c r="C102" s="42" t="s">
        <v>16</v>
      </c>
      <c r="D102">
        <v>24391682</v>
      </c>
      <c r="E102" s="42" t="s">
        <v>1336</v>
      </c>
      <c r="F102" s="42" t="s">
        <v>181</v>
      </c>
      <c r="G102">
        <v>20</v>
      </c>
      <c r="H102" s="42" t="s">
        <v>21</v>
      </c>
      <c r="I102">
        <v>9.9499999999999993</v>
      </c>
      <c r="J102" s="42" t="s">
        <v>14</v>
      </c>
      <c r="K102" s="42" t="s">
        <v>23</v>
      </c>
      <c r="L102" s="10">
        <v>45912</v>
      </c>
      <c r="M102" s="42" t="s">
        <v>30</v>
      </c>
      <c r="N102" s="42" t="str">
        <f>+INDEX(COMSY!F:F,MATCH(INSERITO_KIM[[#This Row],[Codice Comsy Tecnico Attuale]],COMSY!E:E,0))</f>
        <v xml:space="preserve">TEKNOPOINT SNC        </v>
      </c>
      <c r="O102" s="42" t="str">
        <f>+INDEX(COMSY!G:G,MATCH(INSERITO_KIM[[#This Row],[Codice Comsy Tecnico Attuale]],COMSY!E:E,0))</f>
        <v>Raffaele</v>
      </c>
      <c r="P102" s="42" t="str">
        <f>+INDEX(PIANI!B:B,MATCH(INSERITO_KIM[[#This Row],[Valore]],PIANI!A:A,0))</f>
        <v>MOBILE</v>
      </c>
      <c r="Q102" s="42">
        <f>+INDEX(PIANI!D:D,MATCH(INSERITO_KIM[[#This Row],[Valore]],PIANI!A:A,0))</f>
        <v>20</v>
      </c>
    </row>
    <row r="103" spans="1:17" x14ac:dyDescent="0.3">
      <c r="A103" s="42" t="s">
        <v>1355</v>
      </c>
      <c r="B103" s="42" t="s">
        <v>1356</v>
      </c>
      <c r="C103" s="42" t="s">
        <v>16</v>
      </c>
      <c r="D103">
        <v>24393876</v>
      </c>
      <c r="E103" s="42" t="s">
        <v>1357</v>
      </c>
      <c r="F103" s="42" t="s">
        <v>381</v>
      </c>
      <c r="G103">
        <v>20</v>
      </c>
      <c r="H103" s="42" t="s">
        <v>700</v>
      </c>
      <c r="I103">
        <v>33.9</v>
      </c>
      <c r="J103" s="42" t="s">
        <v>14</v>
      </c>
      <c r="K103" s="42" t="s">
        <v>877</v>
      </c>
      <c r="L103" s="10">
        <v>45913</v>
      </c>
      <c r="M103" s="42" t="s">
        <v>30</v>
      </c>
      <c r="N103" s="42" t="str">
        <f>+INDEX(COMSY!F:F,MATCH(INSERITO_KIM[[#This Row],[Codice Comsy Tecnico Attuale]],COMSY!E:E,0))</f>
        <v>MEDIA DREAMS DI MARCOVECCHIO ANTONLUCA</v>
      </c>
      <c r="O103" s="42" t="str">
        <f>+INDEX(COMSY!G:G,MATCH(INSERITO_KIM[[#This Row],[Codice Comsy Tecnico Attuale]],COMSY!E:E,0))</f>
        <v>Giacomo</v>
      </c>
      <c r="P103" s="42" t="str">
        <f>+INDEX(PIANI!B:B,MATCH(INSERITO_KIM[[#This Row],[Valore]],PIANI!A:A,0))</f>
        <v>MOBILE</v>
      </c>
      <c r="Q103" s="42">
        <f>+INDEX(PIANI!D:D,MATCH(INSERITO_KIM[[#This Row],[Valore]],PIANI!A:A,0))</f>
        <v>20</v>
      </c>
    </row>
    <row r="104" spans="1:17" x14ac:dyDescent="0.3">
      <c r="A104" s="42" t="s">
        <v>1373</v>
      </c>
      <c r="B104" s="42" t="s">
        <v>1374</v>
      </c>
      <c r="C104" s="42" t="s">
        <v>16</v>
      </c>
      <c r="D104">
        <v>24395445</v>
      </c>
      <c r="E104" s="42" t="s">
        <v>1375</v>
      </c>
      <c r="F104" s="42" t="s">
        <v>69</v>
      </c>
      <c r="G104">
        <v>20</v>
      </c>
      <c r="H104" s="42" t="s">
        <v>21</v>
      </c>
      <c r="I104">
        <v>9.9499999999999993</v>
      </c>
      <c r="J104" s="42" t="s">
        <v>17</v>
      </c>
      <c r="K104" s="42" t="s">
        <v>17</v>
      </c>
      <c r="L104" s="10">
        <v>45913</v>
      </c>
      <c r="M104" s="42" t="s">
        <v>30</v>
      </c>
      <c r="N104" s="42" t="str">
        <f>+INDEX(COMSY!F:F,MATCH(INSERITO_KIM[[#This Row],[Codice Comsy Tecnico Attuale]],COMSY!E:E,0))</f>
        <v>DEBATECH DI DE PIANO DINA</v>
      </c>
      <c r="O104" s="42" t="str">
        <f>+INDEX(COMSY!G:G,MATCH(INSERITO_KIM[[#This Row],[Codice Comsy Tecnico Attuale]],COMSY!E:E,0))</f>
        <v>Giacomo</v>
      </c>
      <c r="P104" s="42" t="str">
        <f>+INDEX(PIANI!B:B,MATCH(INSERITO_KIM[[#This Row],[Valore]],PIANI!A:A,0))</f>
        <v>MOBILE</v>
      </c>
      <c r="Q104" s="42">
        <f>+INDEX(PIANI!D:D,MATCH(INSERITO_KIM[[#This Row],[Valore]],PIANI!A:A,0))</f>
        <v>20</v>
      </c>
    </row>
    <row r="105" spans="1:17" x14ac:dyDescent="0.3">
      <c r="A105" s="42" t="s">
        <v>956</v>
      </c>
      <c r="B105" s="42" t="s">
        <v>957</v>
      </c>
      <c r="C105" s="42" t="s">
        <v>16</v>
      </c>
      <c r="D105">
        <v>24369294</v>
      </c>
      <c r="E105" s="42" t="s">
        <v>958</v>
      </c>
      <c r="F105" s="42" t="s">
        <v>87</v>
      </c>
      <c r="G105">
        <v>20</v>
      </c>
      <c r="H105" s="42" t="s">
        <v>21</v>
      </c>
      <c r="I105">
        <v>8.9499999999999993</v>
      </c>
      <c r="J105" s="42" t="s">
        <v>17</v>
      </c>
      <c r="K105" s="42" t="s">
        <v>17</v>
      </c>
      <c r="L105" s="10">
        <v>45903</v>
      </c>
      <c r="M105" s="42" t="s">
        <v>30</v>
      </c>
      <c r="N105" s="42" t="str">
        <f>+INDEX(COMSY!F:F,MATCH(INSERITO_KIM[[#This Row],[Codice Comsy Tecnico Attuale]],COMSY!E:E,0))</f>
        <v>IN RETE DI GIACOMO LEO</v>
      </c>
      <c r="O105" s="42" t="str">
        <f>+INDEX(COMSY!G:G,MATCH(INSERITO_KIM[[#This Row],[Codice Comsy Tecnico Attuale]],COMSY!E:E,0))</f>
        <v>Raffaele</v>
      </c>
      <c r="P105" s="42" t="str">
        <f>+INDEX(PIANI!B:B,MATCH(INSERITO_KIM[[#This Row],[Valore]],PIANI!A:A,0))</f>
        <v>MOBILE</v>
      </c>
      <c r="Q105" s="42">
        <f>+INDEX(PIANI!D:D,MATCH(INSERITO_KIM[[#This Row],[Valore]],PIANI!A:A,0))</f>
        <v>20</v>
      </c>
    </row>
    <row r="106" spans="1:17" x14ac:dyDescent="0.3">
      <c r="A106" s="42" t="s">
        <v>1268</v>
      </c>
      <c r="B106" s="42" t="s">
        <v>1269</v>
      </c>
      <c r="C106" s="42" t="s">
        <v>16</v>
      </c>
      <c r="D106">
        <v>24390017</v>
      </c>
      <c r="E106" s="42" t="s">
        <v>1270</v>
      </c>
      <c r="F106" s="42" t="s">
        <v>87</v>
      </c>
      <c r="G106">
        <v>20</v>
      </c>
      <c r="H106" s="42" t="s">
        <v>21</v>
      </c>
      <c r="I106">
        <v>9.9499999999999993</v>
      </c>
      <c r="J106" s="42" t="s">
        <v>14</v>
      </c>
      <c r="K106" s="42" t="s">
        <v>23</v>
      </c>
      <c r="L106" s="10">
        <v>45911</v>
      </c>
      <c r="M106" s="42" t="s">
        <v>30</v>
      </c>
      <c r="N106" s="42" t="str">
        <f>+INDEX(COMSY!F:F,MATCH(INSERITO_KIM[[#This Row],[Codice Comsy Tecnico Attuale]],COMSY!E:E,0))</f>
        <v>IN RETE DI GIACOMO LEO</v>
      </c>
      <c r="O106" s="42" t="str">
        <f>+INDEX(COMSY!G:G,MATCH(INSERITO_KIM[[#This Row],[Codice Comsy Tecnico Attuale]],COMSY!E:E,0))</f>
        <v>Raffaele</v>
      </c>
      <c r="P106" s="42" t="str">
        <f>+INDEX(PIANI!B:B,MATCH(INSERITO_KIM[[#This Row],[Valore]],PIANI!A:A,0))</f>
        <v>MOBILE</v>
      </c>
      <c r="Q106" s="42">
        <f>+INDEX(PIANI!D:D,MATCH(INSERITO_KIM[[#This Row],[Valore]],PIANI!A:A,0))</f>
        <v>20</v>
      </c>
    </row>
    <row r="107" spans="1:17" x14ac:dyDescent="0.3">
      <c r="A107" s="42" t="s">
        <v>844</v>
      </c>
      <c r="B107" s="42" t="s">
        <v>845</v>
      </c>
      <c r="C107" s="42" t="s">
        <v>16</v>
      </c>
      <c r="D107">
        <v>24360278</v>
      </c>
      <c r="E107" s="42" t="s">
        <v>846</v>
      </c>
      <c r="F107" s="42" t="s">
        <v>82</v>
      </c>
      <c r="G107">
        <v>20</v>
      </c>
      <c r="H107" s="42" t="s">
        <v>21</v>
      </c>
      <c r="I107">
        <v>8.9499999999999993</v>
      </c>
      <c r="J107" s="42" t="s">
        <v>17</v>
      </c>
      <c r="K107" s="42" t="s">
        <v>17</v>
      </c>
      <c r="L107" s="10">
        <v>45901</v>
      </c>
      <c r="M107" s="42" t="s">
        <v>30</v>
      </c>
      <c r="N107" s="42" t="str">
        <f>+INDEX(COMSY!F:F,MATCH(INSERITO_KIM[[#This Row],[Codice Comsy Tecnico Attuale]],COMSY!E:E,0))</f>
        <v>BOXSTORE DI SAVINO</v>
      </c>
      <c r="O107" s="42" t="str">
        <f>+INDEX(COMSY!G:G,MATCH(INSERITO_KIM[[#This Row],[Codice Comsy Tecnico Attuale]],COMSY!E:E,0))</f>
        <v>Giacomo</v>
      </c>
      <c r="P107" s="42" t="str">
        <f>+INDEX(PIANI!B:B,MATCH(INSERITO_KIM[[#This Row],[Valore]],PIANI!A:A,0))</f>
        <v>MOBILE</v>
      </c>
      <c r="Q107" s="42">
        <f>+INDEX(PIANI!D:D,MATCH(INSERITO_KIM[[#This Row],[Valore]],PIANI!A:A,0))</f>
        <v>20</v>
      </c>
    </row>
    <row r="108" spans="1:17" x14ac:dyDescent="0.3">
      <c r="A108" s="42" t="s">
        <v>1376</v>
      </c>
      <c r="B108" s="42" t="s">
        <v>1377</v>
      </c>
      <c r="C108" s="42" t="s">
        <v>16</v>
      </c>
      <c r="D108">
        <v>24395367</v>
      </c>
      <c r="E108" s="42" t="s">
        <v>1378</v>
      </c>
      <c r="F108" s="42" t="s">
        <v>58</v>
      </c>
      <c r="G108">
        <v>40</v>
      </c>
      <c r="H108" s="42" t="s">
        <v>21</v>
      </c>
      <c r="I108">
        <v>19.899999999999999</v>
      </c>
      <c r="J108" s="42" t="s">
        <v>17</v>
      </c>
      <c r="K108" s="42" t="s">
        <v>17</v>
      </c>
      <c r="L108" s="10">
        <v>45913</v>
      </c>
      <c r="M108" s="42" t="s">
        <v>30</v>
      </c>
      <c r="N108" s="42" t="str">
        <f>+INDEX(COMSY!F:F,MATCH(INSERITO_KIM[[#This Row],[Codice Comsy Tecnico Attuale]],COMSY!E:E,0))</f>
        <v>GALLITELLI ANTONIO</v>
      </c>
      <c r="O108" s="42" t="str">
        <f>+INDEX(COMSY!G:G,MATCH(INSERITO_KIM[[#This Row],[Codice Comsy Tecnico Attuale]],COMSY!E:E,0))</f>
        <v>Giacomo</v>
      </c>
      <c r="P108" s="42" t="str">
        <f>+INDEX(PIANI!B:B,MATCH(INSERITO_KIM[[#This Row],[Valore]],PIANI!A:A,0))</f>
        <v>MOBILE</v>
      </c>
      <c r="Q108" s="42">
        <f>+INDEX(PIANI!D:D,MATCH(INSERITO_KIM[[#This Row],[Valore]],PIANI!A:A,0))</f>
        <v>20</v>
      </c>
    </row>
    <row r="109" spans="1:17" x14ac:dyDescent="0.3">
      <c r="A109" s="42" t="s">
        <v>1376</v>
      </c>
      <c r="B109" s="42" t="s">
        <v>1377</v>
      </c>
      <c r="C109" s="42" t="s">
        <v>16</v>
      </c>
      <c r="D109">
        <v>24395367</v>
      </c>
      <c r="E109" s="42" t="s">
        <v>1378</v>
      </c>
      <c r="F109" s="42" t="s">
        <v>58</v>
      </c>
      <c r="G109">
        <v>40</v>
      </c>
      <c r="H109" s="42" t="s">
        <v>21</v>
      </c>
      <c r="I109">
        <v>19.899999999999999</v>
      </c>
      <c r="J109" s="42" t="s">
        <v>17</v>
      </c>
      <c r="K109" s="42" t="s">
        <v>17</v>
      </c>
      <c r="L109" s="10">
        <v>45913</v>
      </c>
      <c r="M109" s="42" t="s">
        <v>30</v>
      </c>
      <c r="N109" s="42" t="str">
        <f>+INDEX(COMSY!F:F,MATCH(INSERITO_KIM[[#This Row],[Codice Comsy Tecnico Attuale]],COMSY!E:E,0))</f>
        <v>GALLITELLI ANTONIO</v>
      </c>
      <c r="O109" s="42" t="str">
        <f>+INDEX(COMSY!G:G,MATCH(INSERITO_KIM[[#This Row],[Codice Comsy Tecnico Attuale]],COMSY!E:E,0))</f>
        <v>Giacomo</v>
      </c>
      <c r="P109" s="42" t="str">
        <f>+INDEX(PIANI!B:B,MATCH(INSERITO_KIM[[#This Row],[Valore]],PIANI!A:A,0))</f>
        <v>MOBILE</v>
      </c>
      <c r="Q109" s="42">
        <f>+INDEX(PIANI!D:D,MATCH(INSERITO_KIM[[#This Row],[Valore]],PIANI!A:A,0))</f>
        <v>20</v>
      </c>
    </row>
    <row r="110" spans="1:17" x14ac:dyDescent="0.3">
      <c r="A110" s="42" t="s">
        <v>1225</v>
      </c>
      <c r="B110" s="42" t="s">
        <v>1226</v>
      </c>
      <c r="C110" s="42" t="s">
        <v>16</v>
      </c>
      <c r="D110">
        <v>24387247</v>
      </c>
      <c r="E110" s="42" t="s">
        <v>1227</v>
      </c>
      <c r="F110" s="42" t="s">
        <v>52</v>
      </c>
      <c r="G110">
        <v>20</v>
      </c>
      <c r="H110" s="42" t="s">
        <v>21</v>
      </c>
      <c r="I110">
        <v>9.9499999999999993</v>
      </c>
      <c r="J110" s="42" t="s">
        <v>14</v>
      </c>
      <c r="K110" s="42" t="s">
        <v>23</v>
      </c>
      <c r="L110" s="10">
        <v>45910</v>
      </c>
      <c r="M110" s="42" t="s">
        <v>30</v>
      </c>
      <c r="N110" s="42" t="str">
        <f>+INDEX(COMSY!F:F,MATCH(INSERITO_KIM[[#This Row],[Codice Comsy Tecnico Attuale]],COMSY!E:E,0))</f>
        <v>HUB 98 di DRAGONE GIUSEPPE</v>
      </c>
      <c r="O110" s="42" t="str">
        <f>+INDEX(COMSY!G:G,MATCH(INSERITO_KIM[[#This Row],[Codice Comsy Tecnico Attuale]],COMSY!E:E,0))</f>
        <v>Raffaele</v>
      </c>
      <c r="P110" s="42" t="str">
        <f>+INDEX(PIANI!B:B,MATCH(INSERITO_KIM[[#This Row],[Valore]],PIANI!A:A,0))</f>
        <v>MOBILE</v>
      </c>
      <c r="Q110" s="42">
        <f>+INDEX(PIANI!D:D,MATCH(INSERITO_KIM[[#This Row],[Valore]],PIANI!A:A,0))</f>
        <v>20</v>
      </c>
    </row>
    <row r="111" spans="1:17" x14ac:dyDescent="0.3">
      <c r="A111" s="42" t="s">
        <v>1054</v>
      </c>
      <c r="B111" s="42" t="s">
        <v>1055</v>
      </c>
      <c r="C111" s="42" t="s">
        <v>16</v>
      </c>
      <c r="D111">
        <v>24372679</v>
      </c>
      <c r="E111" s="42" t="s">
        <v>1056</v>
      </c>
      <c r="F111" s="42" t="s">
        <v>615</v>
      </c>
      <c r="G111">
        <v>20</v>
      </c>
      <c r="H111" s="42" t="s">
        <v>21</v>
      </c>
      <c r="I111">
        <v>9.9499999999999993</v>
      </c>
      <c r="J111" s="42" t="s">
        <v>17</v>
      </c>
      <c r="K111" s="42" t="s">
        <v>17</v>
      </c>
      <c r="L111" s="10">
        <v>45905</v>
      </c>
      <c r="M111" s="42" t="s">
        <v>30</v>
      </c>
      <c r="N111" s="42" t="str">
        <f>+INDEX(COMSY!F:F,MATCH(INSERITO_KIM[[#This Row],[Codice Comsy Tecnico Attuale]],COMSY!E:E,0))</f>
        <v>L OGIN SOLUTION</v>
      </c>
      <c r="O111" s="42" t="str">
        <f>+INDEX(COMSY!G:G,MATCH(INSERITO_KIM[[#This Row],[Codice Comsy Tecnico Attuale]],COMSY!E:E,0))</f>
        <v>Giacomo</v>
      </c>
      <c r="P111" s="42" t="str">
        <f>+INDEX(PIANI!B:B,MATCH(INSERITO_KIM[[#This Row],[Valore]],PIANI!A:A,0))</f>
        <v>MOBILE</v>
      </c>
      <c r="Q111" s="42">
        <f>+INDEX(PIANI!D:D,MATCH(INSERITO_KIM[[#This Row],[Valore]],PIANI!A:A,0))</f>
        <v>20</v>
      </c>
    </row>
    <row r="112" spans="1:17" x14ac:dyDescent="0.3">
      <c r="A112" s="42" t="s">
        <v>1057</v>
      </c>
      <c r="B112" s="42" t="s">
        <v>1058</v>
      </c>
      <c r="C112" s="42" t="s">
        <v>16</v>
      </c>
      <c r="D112">
        <v>24372075</v>
      </c>
      <c r="E112" s="42" t="s">
        <v>1059</v>
      </c>
      <c r="F112" s="42" t="s">
        <v>660</v>
      </c>
      <c r="G112">
        <v>20</v>
      </c>
      <c r="H112" s="42" t="s">
        <v>21</v>
      </c>
      <c r="I112">
        <v>9.9499999999999993</v>
      </c>
      <c r="J112" s="42" t="s">
        <v>17</v>
      </c>
      <c r="K112" s="42" t="s">
        <v>17</v>
      </c>
      <c r="L112" s="10">
        <v>45904</v>
      </c>
      <c r="M112" s="42" t="s">
        <v>30</v>
      </c>
      <c r="N112" s="42" t="str">
        <f>+INDEX(COMSY!F:F,MATCH(INSERITO_KIM[[#This Row],[Codice Comsy Tecnico Attuale]],COMSY!E:E,0))</f>
        <v>MEDIASERVICE DI PATRUNO MARCO</v>
      </c>
      <c r="O112" s="42" t="str">
        <f>+INDEX(COMSY!G:G,MATCH(INSERITO_KIM[[#This Row],[Codice Comsy Tecnico Attuale]],COMSY!E:E,0))</f>
        <v>Giacomo</v>
      </c>
      <c r="P112" s="42" t="str">
        <f>+INDEX(PIANI!B:B,MATCH(INSERITO_KIM[[#This Row],[Valore]],PIANI!A:A,0))</f>
        <v>MOBILE</v>
      </c>
      <c r="Q112" s="42">
        <f>+INDEX(PIANI!D:D,MATCH(INSERITO_KIM[[#This Row],[Valore]],PIANI!A:A,0))</f>
        <v>20</v>
      </c>
    </row>
    <row r="113" spans="1:17" x14ac:dyDescent="0.3">
      <c r="A113" s="42" t="s">
        <v>1060</v>
      </c>
      <c r="B113" s="42" t="s">
        <v>1061</v>
      </c>
      <c r="C113" s="42" t="s">
        <v>16</v>
      </c>
      <c r="D113">
        <v>24369902</v>
      </c>
      <c r="E113" s="42" t="s">
        <v>1062</v>
      </c>
      <c r="F113" s="42" t="s">
        <v>667</v>
      </c>
      <c r="G113">
        <v>20</v>
      </c>
      <c r="H113" s="42" t="s">
        <v>21</v>
      </c>
      <c r="I113">
        <v>9.9499999999999993</v>
      </c>
      <c r="J113" s="42" t="s">
        <v>17</v>
      </c>
      <c r="K113" s="42" t="s">
        <v>17</v>
      </c>
      <c r="L113" s="10">
        <v>45904</v>
      </c>
      <c r="M113" s="42" t="s">
        <v>30</v>
      </c>
      <c r="N113" s="42" t="str">
        <f>+INDEX(COMSY!F:F,MATCH(INSERITO_KIM[[#This Row],[Codice Comsy Tecnico Attuale]],COMSY!E:E,0))</f>
        <v>AUDIO VIDEO CENTER DI GIOVANNIELLO DOMENICO</v>
      </c>
      <c r="O113" s="42" t="str">
        <f>+INDEX(COMSY!G:G,MATCH(INSERITO_KIM[[#This Row],[Codice Comsy Tecnico Attuale]],COMSY!E:E,0))</f>
        <v>Giacomo</v>
      </c>
      <c r="P113" s="42" t="str">
        <f>+INDEX(PIANI!B:B,MATCH(INSERITO_KIM[[#This Row],[Valore]],PIANI!A:A,0))</f>
        <v>MOBILE</v>
      </c>
      <c r="Q113" s="42">
        <f>+INDEX(PIANI!D:D,MATCH(INSERITO_KIM[[#This Row],[Valore]],PIANI!A:A,0))</f>
        <v>20</v>
      </c>
    </row>
    <row r="114" spans="1:17" x14ac:dyDescent="0.3">
      <c r="A114" s="42" t="s">
        <v>1337</v>
      </c>
      <c r="B114" s="42" t="s">
        <v>1338</v>
      </c>
      <c r="C114" s="42" t="s">
        <v>16</v>
      </c>
      <c r="D114">
        <v>24393508</v>
      </c>
      <c r="E114" s="42" t="s">
        <v>1339</v>
      </c>
      <c r="F114" s="42" t="s">
        <v>73</v>
      </c>
      <c r="G114">
        <v>40</v>
      </c>
      <c r="H114" s="42" t="s">
        <v>21</v>
      </c>
      <c r="I114">
        <v>19.899999999999999</v>
      </c>
      <c r="J114" s="42" t="s">
        <v>17</v>
      </c>
      <c r="K114" s="42" t="s">
        <v>17</v>
      </c>
      <c r="L114" s="10">
        <v>45912</v>
      </c>
      <c r="M114" s="42" t="s">
        <v>30</v>
      </c>
      <c r="N114" s="42" t="str">
        <f>+INDEX(COMSY!F:F,MATCH(INSERITO_KIM[[#This Row],[Codice Comsy Tecnico Attuale]],COMSY!E:E,0))</f>
        <v>NICK TEL DI NICOLA MASTROCRISTINO</v>
      </c>
      <c r="O114" s="42" t="str">
        <f>+INDEX(COMSY!G:G,MATCH(INSERITO_KIM[[#This Row],[Codice Comsy Tecnico Attuale]],COMSY!E:E,0))</f>
        <v>Giacomo</v>
      </c>
      <c r="P114" s="42" t="str">
        <f>+INDEX(PIANI!B:B,MATCH(INSERITO_KIM[[#This Row],[Valore]],PIANI!A:A,0))</f>
        <v>MOBILE</v>
      </c>
      <c r="Q114" s="42">
        <f>+INDEX(PIANI!D:D,MATCH(INSERITO_KIM[[#This Row],[Valore]],PIANI!A:A,0))</f>
        <v>20</v>
      </c>
    </row>
    <row r="115" spans="1:17" x14ac:dyDescent="0.3">
      <c r="A115" s="42" t="s">
        <v>1337</v>
      </c>
      <c r="B115" s="42" t="s">
        <v>1338</v>
      </c>
      <c r="C115" s="42" t="s">
        <v>16</v>
      </c>
      <c r="D115">
        <v>24393508</v>
      </c>
      <c r="E115" s="42" t="s">
        <v>1339</v>
      </c>
      <c r="F115" s="42" t="s">
        <v>73</v>
      </c>
      <c r="G115">
        <v>40</v>
      </c>
      <c r="H115" s="42" t="s">
        <v>21</v>
      </c>
      <c r="I115">
        <v>19.899999999999999</v>
      </c>
      <c r="J115" s="42" t="s">
        <v>17</v>
      </c>
      <c r="K115" s="42" t="s">
        <v>17</v>
      </c>
      <c r="L115" s="10">
        <v>45912</v>
      </c>
      <c r="M115" s="42" t="s">
        <v>30</v>
      </c>
      <c r="N115" s="42" t="str">
        <f>+INDEX(COMSY!F:F,MATCH(INSERITO_KIM[[#This Row],[Codice Comsy Tecnico Attuale]],COMSY!E:E,0))</f>
        <v>NICK TEL DI NICOLA MASTROCRISTINO</v>
      </c>
      <c r="O115" s="42" t="str">
        <f>+INDEX(COMSY!G:G,MATCH(INSERITO_KIM[[#This Row],[Codice Comsy Tecnico Attuale]],COMSY!E:E,0))</f>
        <v>Giacomo</v>
      </c>
      <c r="P115" s="42" t="str">
        <f>+INDEX(PIANI!B:B,MATCH(INSERITO_KIM[[#This Row],[Valore]],PIANI!A:A,0))</f>
        <v>MOBILE</v>
      </c>
      <c r="Q115" s="42">
        <f>+INDEX(PIANI!D:D,MATCH(INSERITO_KIM[[#This Row],[Valore]],PIANI!A:A,0))</f>
        <v>20</v>
      </c>
    </row>
    <row r="116" spans="1:17" x14ac:dyDescent="0.3">
      <c r="A116" s="42" t="s">
        <v>1379</v>
      </c>
      <c r="B116" s="42" t="s">
        <v>1380</v>
      </c>
      <c r="C116" s="42" t="s">
        <v>16</v>
      </c>
      <c r="D116">
        <v>24394357</v>
      </c>
      <c r="E116" s="42" t="s">
        <v>1381</v>
      </c>
      <c r="F116" s="42" t="s">
        <v>719</v>
      </c>
      <c r="G116">
        <v>20</v>
      </c>
      <c r="H116" s="42" t="s">
        <v>21</v>
      </c>
      <c r="I116">
        <v>9.9499999999999993</v>
      </c>
      <c r="J116" s="42" t="s">
        <v>14</v>
      </c>
      <c r="K116" s="42" t="s">
        <v>23</v>
      </c>
      <c r="L116" s="10">
        <v>45913</v>
      </c>
      <c r="M116" s="42" t="s">
        <v>30</v>
      </c>
      <c r="N116" s="42" t="str">
        <f>+INDEX(COMSY!F:F,MATCH(INSERITO_KIM[[#This Row],[Codice Comsy Tecnico Attuale]],COMSY!E:E,0))</f>
        <v>RENEWED S.R.L.</v>
      </c>
      <c r="O116" s="42" t="str">
        <f>+INDEX(COMSY!G:G,MATCH(INSERITO_KIM[[#This Row],[Codice Comsy Tecnico Attuale]],COMSY!E:E,0))</f>
        <v>Giacomo</v>
      </c>
      <c r="P116" s="42" t="str">
        <f>+INDEX(PIANI!B:B,MATCH(INSERITO_KIM[[#This Row],[Valore]],PIANI!A:A,0))</f>
        <v>MOBILE</v>
      </c>
      <c r="Q116" s="42">
        <f>+INDEX(PIANI!D:D,MATCH(INSERITO_KIM[[#This Row],[Valore]],PIANI!A:A,0))</f>
        <v>20</v>
      </c>
    </row>
    <row r="117" spans="1:17" x14ac:dyDescent="0.3">
      <c r="A117" s="42" t="s">
        <v>881</v>
      </c>
      <c r="B117" s="42" t="s">
        <v>882</v>
      </c>
      <c r="C117" s="42" t="s">
        <v>16</v>
      </c>
      <c r="D117">
        <v>24363952</v>
      </c>
      <c r="E117" s="42" t="s">
        <v>883</v>
      </c>
      <c r="F117" s="42" t="s">
        <v>722</v>
      </c>
      <c r="G117">
        <v>20</v>
      </c>
      <c r="H117" s="42" t="s">
        <v>700</v>
      </c>
      <c r="I117">
        <v>32.9</v>
      </c>
      <c r="J117" s="42" t="s">
        <v>14</v>
      </c>
      <c r="K117" s="42" t="s">
        <v>877</v>
      </c>
      <c r="L117" s="10">
        <v>45902</v>
      </c>
      <c r="M117" s="42" t="s">
        <v>30</v>
      </c>
      <c r="N117" s="42" t="str">
        <f>+INDEX(COMSY!F:F,MATCH(INSERITO_KIM[[#This Row],[Codice Comsy Tecnico Attuale]],COMSY!E:E,0))</f>
        <v>TECNOLOGIT DI D'ALESSANDRO FRANCESCO</v>
      </c>
      <c r="O117" s="42" t="str">
        <f>+INDEX(COMSY!G:G,MATCH(INSERITO_KIM[[#This Row],[Codice Comsy Tecnico Attuale]],COMSY!E:E,0))</f>
        <v>Giacomo</v>
      </c>
      <c r="P117" s="42" t="str">
        <f>+INDEX(PIANI!B:B,MATCH(INSERITO_KIM[[#This Row],[Valore]],PIANI!A:A,0))</f>
        <v>MOBILE</v>
      </c>
      <c r="Q117" s="42">
        <f>+INDEX(PIANI!D:D,MATCH(INSERITO_KIM[[#This Row],[Valore]],PIANI!A:A,0))</f>
        <v>20</v>
      </c>
    </row>
    <row r="118" spans="1:17" x14ac:dyDescent="0.3">
      <c r="A118" s="42" t="s">
        <v>847</v>
      </c>
      <c r="B118" s="42" t="s">
        <v>848</v>
      </c>
      <c r="C118" s="42" t="s">
        <v>16</v>
      </c>
      <c r="D118">
        <v>24362276</v>
      </c>
      <c r="E118" s="42" t="s">
        <v>849</v>
      </c>
      <c r="F118" s="42" t="s">
        <v>84</v>
      </c>
      <c r="G118">
        <v>20</v>
      </c>
      <c r="H118" s="42" t="s">
        <v>21</v>
      </c>
      <c r="I118">
        <v>8.9499999999999993</v>
      </c>
      <c r="J118" s="42" t="s">
        <v>17</v>
      </c>
      <c r="K118" s="42" t="s">
        <v>17</v>
      </c>
      <c r="L118" s="10">
        <v>45901</v>
      </c>
      <c r="M118" s="42" t="s">
        <v>30</v>
      </c>
      <c r="N118" s="42" t="str">
        <f>+INDEX(COMSY!F:F,MATCH(INSERITO_KIM[[#This Row],[Codice Comsy Tecnico Attuale]],COMSY!E:E,0))</f>
        <v>LEVAPHONE DI LEVA ANTONIO</v>
      </c>
      <c r="O118" s="42" t="str">
        <f>+INDEX(COMSY!G:G,MATCH(INSERITO_KIM[[#This Row],[Codice Comsy Tecnico Attuale]],COMSY!E:E,0))</f>
        <v>Giacomo</v>
      </c>
      <c r="P118" s="42" t="str">
        <f>+INDEX(PIANI!B:B,MATCH(INSERITO_KIM[[#This Row],[Valore]],PIANI!A:A,0))</f>
        <v>MOBILE</v>
      </c>
      <c r="Q118" s="42">
        <f>+INDEX(PIANI!D:D,MATCH(INSERITO_KIM[[#This Row],[Valore]],PIANI!A:A,0))</f>
        <v>20</v>
      </c>
    </row>
    <row r="119" spans="1:17" x14ac:dyDescent="0.3">
      <c r="A119" s="42" t="s">
        <v>1340</v>
      </c>
      <c r="B119" s="42" t="s">
        <v>1341</v>
      </c>
      <c r="C119" s="42" t="s">
        <v>16</v>
      </c>
      <c r="D119">
        <v>24391779</v>
      </c>
      <c r="E119" s="42" t="s">
        <v>1342</v>
      </c>
      <c r="F119" s="42" t="s">
        <v>109</v>
      </c>
      <c r="G119">
        <v>20</v>
      </c>
      <c r="H119" s="42" t="s">
        <v>700</v>
      </c>
      <c r="I119">
        <v>35.9</v>
      </c>
      <c r="J119" s="42" t="s">
        <v>14</v>
      </c>
      <c r="K119" s="42" t="s">
        <v>780</v>
      </c>
      <c r="L119" s="10">
        <v>45912</v>
      </c>
      <c r="M119" s="42" t="s">
        <v>30</v>
      </c>
      <c r="N119" s="42" t="str">
        <f>+INDEX(COMSY!F:F,MATCH(INSERITO_KIM[[#This Row],[Codice Comsy Tecnico Attuale]],COMSY!E:E,0))</f>
        <v>CASALUCI S.R.L.</v>
      </c>
      <c r="O119" s="42" t="str">
        <f>+INDEX(COMSY!G:G,MATCH(INSERITO_KIM[[#This Row],[Codice Comsy Tecnico Attuale]],COMSY!E:E,0))</f>
        <v>Raffaele</v>
      </c>
      <c r="P119" s="42" t="str">
        <f>+INDEX(PIANI!B:B,MATCH(INSERITO_KIM[[#This Row],[Valore]],PIANI!A:A,0))</f>
        <v>MOBILE</v>
      </c>
      <c r="Q119" s="42">
        <f>+INDEX(PIANI!D:D,MATCH(INSERITO_KIM[[#This Row],[Valore]],PIANI!A:A,0))</f>
        <v>20</v>
      </c>
    </row>
    <row r="120" spans="1:17" x14ac:dyDescent="0.3">
      <c r="A120" s="42" t="s">
        <v>1063</v>
      </c>
      <c r="B120" s="42" t="s">
        <v>1064</v>
      </c>
      <c r="C120" s="42" t="s">
        <v>16</v>
      </c>
      <c r="D120">
        <v>24372827</v>
      </c>
      <c r="E120" s="42" t="s">
        <v>1065</v>
      </c>
      <c r="F120" s="42" t="s">
        <v>751</v>
      </c>
      <c r="G120">
        <v>20</v>
      </c>
      <c r="H120" s="42" t="s">
        <v>700</v>
      </c>
      <c r="I120">
        <v>35.9</v>
      </c>
      <c r="J120" s="42" t="s">
        <v>14</v>
      </c>
      <c r="K120" s="42" t="s">
        <v>877</v>
      </c>
      <c r="L120" s="10">
        <v>45905</v>
      </c>
      <c r="M120" s="42" t="s">
        <v>30</v>
      </c>
      <c r="N120" s="42" t="str">
        <f>+INDEX(COMSY!F:F,MATCH(INSERITO_KIM[[#This Row],[Codice Comsy Tecnico Attuale]],COMSY!E:E,0))</f>
        <v>S.I.P.R.A. ITALIA SAS DI LASALVIA M. &amp; MONTERISI G.</v>
      </c>
      <c r="O120" s="42" t="str">
        <f>+INDEX(COMSY!G:G,MATCH(INSERITO_KIM[[#This Row],[Codice Comsy Tecnico Attuale]],COMSY!E:E,0))</f>
        <v>Luigi</v>
      </c>
      <c r="P120" s="42" t="str">
        <f>+INDEX(PIANI!B:B,MATCH(INSERITO_KIM[[#This Row],[Valore]],PIANI!A:A,0))</f>
        <v>MOBILE</v>
      </c>
      <c r="Q120" s="42">
        <f>+INDEX(PIANI!D:D,MATCH(INSERITO_KIM[[#This Row],[Valore]],PIANI!A:A,0))</f>
        <v>20</v>
      </c>
    </row>
    <row r="121" spans="1:17" x14ac:dyDescent="0.3">
      <c r="A121" s="42" t="s">
        <v>993</v>
      </c>
      <c r="B121" s="42" t="s">
        <v>994</v>
      </c>
      <c r="C121" s="42" t="s">
        <v>16</v>
      </c>
      <c r="D121">
        <v>24374624</v>
      </c>
      <c r="E121" s="42" t="s">
        <v>995</v>
      </c>
      <c r="F121" s="42" t="s">
        <v>751</v>
      </c>
      <c r="G121">
        <v>20</v>
      </c>
      <c r="H121" s="42" t="s">
        <v>700</v>
      </c>
      <c r="I121">
        <v>33.9</v>
      </c>
      <c r="J121" s="42" t="s">
        <v>14</v>
      </c>
      <c r="K121" s="42" t="s">
        <v>877</v>
      </c>
      <c r="L121" s="10">
        <v>45905</v>
      </c>
      <c r="M121" s="42" t="s">
        <v>30</v>
      </c>
      <c r="N121" s="42" t="str">
        <f>+INDEX(COMSY!F:F,MATCH(INSERITO_KIM[[#This Row],[Codice Comsy Tecnico Attuale]],COMSY!E:E,0))</f>
        <v>S.I.P.R.A. ITALIA SAS DI LASALVIA M. &amp; MONTERISI G.</v>
      </c>
      <c r="O121" s="42" t="str">
        <f>+INDEX(COMSY!G:G,MATCH(INSERITO_KIM[[#This Row],[Codice Comsy Tecnico Attuale]],COMSY!E:E,0))</f>
        <v>Luigi</v>
      </c>
      <c r="P121" s="42" t="str">
        <f>+INDEX(PIANI!B:B,MATCH(INSERITO_KIM[[#This Row],[Valore]],PIANI!A:A,0))</f>
        <v>MOBILE</v>
      </c>
      <c r="Q121" s="42">
        <f>+INDEX(PIANI!D:D,MATCH(INSERITO_KIM[[#This Row],[Valore]],PIANI!A:A,0))</f>
        <v>20</v>
      </c>
    </row>
    <row r="122" spans="1:17" x14ac:dyDescent="0.3">
      <c r="A122" s="42" t="s">
        <v>1228</v>
      </c>
      <c r="B122" s="42" t="s">
        <v>1229</v>
      </c>
      <c r="C122" s="42" t="s">
        <v>16</v>
      </c>
      <c r="D122">
        <v>24387286</v>
      </c>
      <c r="E122" s="42" t="s">
        <v>1230</v>
      </c>
      <c r="F122" s="42" t="s">
        <v>751</v>
      </c>
      <c r="G122">
        <v>40</v>
      </c>
      <c r="H122" s="42" t="s">
        <v>700</v>
      </c>
      <c r="I122">
        <v>45.85</v>
      </c>
      <c r="J122" s="42" t="s">
        <v>887</v>
      </c>
      <c r="K122" s="42" t="s">
        <v>888</v>
      </c>
      <c r="L122" s="10">
        <v>45910</v>
      </c>
      <c r="M122" s="42" t="s">
        <v>30</v>
      </c>
      <c r="N122" s="42" t="str">
        <f>+INDEX(COMSY!F:F,MATCH(INSERITO_KIM[[#This Row],[Codice Comsy Tecnico Attuale]],COMSY!E:E,0))</f>
        <v>S.I.P.R.A. ITALIA SAS DI LASALVIA M. &amp; MONTERISI G.</v>
      </c>
      <c r="O122" s="42" t="str">
        <f>+INDEX(COMSY!G:G,MATCH(INSERITO_KIM[[#This Row],[Codice Comsy Tecnico Attuale]],COMSY!E:E,0))</f>
        <v>Luigi</v>
      </c>
      <c r="P122" s="42" t="str">
        <f>+INDEX(PIANI!B:B,MATCH(INSERITO_KIM[[#This Row],[Valore]],PIANI!A:A,0))</f>
        <v>MOBILE</v>
      </c>
      <c r="Q122" s="42">
        <f>+INDEX(PIANI!D:D,MATCH(INSERITO_KIM[[#This Row],[Valore]],PIANI!A:A,0))</f>
        <v>20</v>
      </c>
    </row>
    <row r="123" spans="1:17" x14ac:dyDescent="0.3">
      <c r="A123" s="42" t="s">
        <v>1228</v>
      </c>
      <c r="B123" s="42" t="s">
        <v>1229</v>
      </c>
      <c r="C123" s="42" t="s">
        <v>16</v>
      </c>
      <c r="D123">
        <v>24387286</v>
      </c>
      <c r="E123" s="42" t="s">
        <v>1230</v>
      </c>
      <c r="F123" s="42" t="s">
        <v>751</v>
      </c>
      <c r="G123">
        <v>40</v>
      </c>
      <c r="H123" s="42" t="s">
        <v>700</v>
      </c>
      <c r="I123">
        <v>45.85</v>
      </c>
      <c r="J123" s="42" t="s">
        <v>887</v>
      </c>
      <c r="K123" s="42" t="s">
        <v>888</v>
      </c>
      <c r="L123" s="10">
        <v>45910</v>
      </c>
      <c r="M123" s="42" t="s">
        <v>30</v>
      </c>
      <c r="N123" s="42" t="str">
        <f>+INDEX(COMSY!F:F,MATCH(INSERITO_KIM[[#This Row],[Codice Comsy Tecnico Attuale]],COMSY!E:E,0))</f>
        <v>S.I.P.R.A. ITALIA SAS DI LASALVIA M. &amp; MONTERISI G.</v>
      </c>
      <c r="O123" s="42" t="str">
        <f>+INDEX(COMSY!G:G,MATCH(INSERITO_KIM[[#This Row],[Codice Comsy Tecnico Attuale]],COMSY!E:E,0))</f>
        <v>Luigi</v>
      </c>
      <c r="P123" s="42" t="str">
        <f>+INDEX(PIANI!B:B,MATCH(INSERITO_KIM[[#This Row],[Valore]],PIANI!A:A,0))</f>
        <v>MOBILE</v>
      </c>
      <c r="Q123" s="42">
        <f>+INDEX(PIANI!D:D,MATCH(INSERITO_KIM[[#This Row],[Valore]],PIANI!A:A,0))</f>
        <v>20</v>
      </c>
    </row>
    <row r="124" spans="1:17" x14ac:dyDescent="0.3">
      <c r="A124" s="42" t="s">
        <v>1382</v>
      </c>
      <c r="B124" s="42" t="s">
        <v>1383</v>
      </c>
      <c r="C124" s="42" t="s">
        <v>16</v>
      </c>
      <c r="D124">
        <v>24394160</v>
      </c>
      <c r="E124" s="42" t="s">
        <v>1384</v>
      </c>
      <c r="F124" s="42" t="s">
        <v>134</v>
      </c>
      <c r="G124">
        <v>20</v>
      </c>
      <c r="H124" s="42" t="s">
        <v>21</v>
      </c>
      <c r="I124">
        <v>9.9499999999999993</v>
      </c>
      <c r="J124" s="42" t="s">
        <v>14</v>
      </c>
      <c r="K124" s="42" t="s">
        <v>23</v>
      </c>
      <c r="L124" s="10">
        <v>45913</v>
      </c>
      <c r="M124" s="42" t="s">
        <v>30</v>
      </c>
      <c r="N124" s="42" t="str">
        <f>+INDEX(COMSY!F:F,MATCH(INSERITO_KIM[[#This Row],[Codice Comsy Tecnico Attuale]],COMSY!E:E,0))</f>
        <v>APULIATOURIST2.0</v>
      </c>
      <c r="O124" s="42" t="str">
        <f>+INDEX(COMSY!G:G,MATCH(INSERITO_KIM[[#This Row],[Codice Comsy Tecnico Attuale]],COMSY!E:E,0))</f>
        <v>Giacomo</v>
      </c>
      <c r="P124" s="42" t="str">
        <f>+INDEX(PIANI!B:B,MATCH(INSERITO_KIM[[#This Row],[Valore]],PIANI!A:A,0))</f>
        <v>MOBILE</v>
      </c>
      <c r="Q124" s="42">
        <f>+INDEX(PIANI!D:D,MATCH(INSERITO_KIM[[#This Row],[Valore]],PIANI!A:A,0))</f>
        <v>20</v>
      </c>
    </row>
    <row r="125" spans="1:17" x14ac:dyDescent="0.3">
      <c r="A125" s="42" t="s">
        <v>884</v>
      </c>
      <c r="B125" s="42" t="s">
        <v>885</v>
      </c>
      <c r="C125" s="42" t="s">
        <v>16</v>
      </c>
      <c r="D125">
        <v>24363128</v>
      </c>
      <c r="E125" s="42" t="s">
        <v>886</v>
      </c>
      <c r="F125" s="42" t="s">
        <v>114</v>
      </c>
      <c r="G125">
        <v>20</v>
      </c>
      <c r="H125" s="42" t="s">
        <v>700</v>
      </c>
      <c r="I125">
        <v>32.9</v>
      </c>
      <c r="J125" s="42" t="s">
        <v>14</v>
      </c>
      <c r="K125" s="42" t="s">
        <v>877</v>
      </c>
      <c r="L125" s="10">
        <v>45902</v>
      </c>
      <c r="M125" s="42" t="s">
        <v>30</v>
      </c>
      <c r="N125" s="42" t="str">
        <f>+INDEX(COMSY!F:F,MATCH(INSERITO_KIM[[#This Row],[Codice Comsy Tecnico Attuale]],COMSY!E:E,0))</f>
        <v>MILILLO GIUSEPPE</v>
      </c>
      <c r="O125" s="42" t="str">
        <f>+INDEX(COMSY!G:G,MATCH(INSERITO_KIM[[#This Row],[Codice Comsy Tecnico Attuale]],COMSY!E:E,0))</f>
        <v>Giacomo</v>
      </c>
      <c r="P125" s="42" t="str">
        <f>+INDEX(PIANI!B:B,MATCH(INSERITO_KIM[[#This Row],[Valore]],PIANI!A:A,0))</f>
        <v>MOBILE</v>
      </c>
      <c r="Q125" s="42">
        <f>+INDEX(PIANI!D:D,MATCH(INSERITO_KIM[[#This Row],[Valore]],PIANI!A:A,0))</f>
        <v>20</v>
      </c>
    </row>
    <row r="126" spans="1:17" x14ac:dyDescent="0.3">
      <c r="A126" s="42" t="s">
        <v>850</v>
      </c>
      <c r="B126" s="42" t="s">
        <v>851</v>
      </c>
      <c r="C126" s="42" t="s">
        <v>16</v>
      </c>
      <c r="D126">
        <v>24362685</v>
      </c>
      <c r="E126" s="42" t="s">
        <v>852</v>
      </c>
      <c r="F126" s="42" t="s">
        <v>80</v>
      </c>
      <c r="G126">
        <v>20</v>
      </c>
      <c r="H126" s="42" t="s">
        <v>21</v>
      </c>
      <c r="I126">
        <v>8.9499999999999993</v>
      </c>
      <c r="J126" s="42" t="s">
        <v>17</v>
      </c>
      <c r="K126" s="42" t="s">
        <v>17</v>
      </c>
      <c r="L126" s="10">
        <v>45901</v>
      </c>
      <c r="M126" s="42" t="s">
        <v>30</v>
      </c>
      <c r="N126" s="42" t="str">
        <f>+INDEX(COMSY!F:F,MATCH(INSERITO_KIM[[#This Row],[Codice Comsy Tecnico Attuale]],COMSY!E:E,0))</f>
        <v>CARTOPLANET DI GIUSEPPE RUBINI</v>
      </c>
      <c r="O126" s="42" t="str">
        <f>+INDEX(COMSY!G:G,MATCH(INSERITO_KIM[[#This Row],[Codice Comsy Tecnico Attuale]],COMSY!E:E,0))</f>
        <v>Giacomo</v>
      </c>
      <c r="P126" s="42" t="str">
        <f>+INDEX(PIANI!B:B,MATCH(INSERITO_KIM[[#This Row],[Valore]],PIANI!A:A,0))</f>
        <v>MOBILE</v>
      </c>
      <c r="Q126" s="42">
        <f>+INDEX(PIANI!D:D,MATCH(INSERITO_KIM[[#This Row],[Valore]],PIANI!A:A,0))</f>
        <v>20</v>
      </c>
    </row>
    <row r="127" spans="1:17" x14ac:dyDescent="0.3">
      <c r="A127" s="42" t="s">
        <v>1176</v>
      </c>
      <c r="B127" s="42" t="s">
        <v>1177</v>
      </c>
      <c r="C127" s="42" t="s">
        <v>16</v>
      </c>
      <c r="D127">
        <v>24383523</v>
      </c>
      <c r="E127" s="42" t="s">
        <v>1178</v>
      </c>
      <c r="F127" s="42" t="s">
        <v>71</v>
      </c>
      <c r="G127">
        <v>20</v>
      </c>
      <c r="H127" s="42" t="s">
        <v>700</v>
      </c>
      <c r="I127">
        <v>33.9</v>
      </c>
      <c r="J127" s="42" t="s">
        <v>14</v>
      </c>
      <c r="K127" s="42" t="s">
        <v>877</v>
      </c>
      <c r="L127" s="10">
        <v>45909</v>
      </c>
      <c r="M127" s="42" t="s">
        <v>30</v>
      </c>
      <c r="N127" s="42" t="str">
        <f>+INDEX(COMSY!F:F,MATCH(INSERITO_KIM[[#This Row],[Codice Comsy Tecnico Attuale]],COMSY!E:E,0))</f>
        <v>PUNTOCOM DI BONITO MARIALUIGIA</v>
      </c>
      <c r="O127" s="42" t="str">
        <f>+INDEX(COMSY!G:G,MATCH(INSERITO_KIM[[#This Row],[Codice Comsy Tecnico Attuale]],COMSY!E:E,0))</f>
        <v>Giacomo</v>
      </c>
      <c r="P127" s="42" t="str">
        <f>+INDEX(PIANI!B:B,MATCH(INSERITO_KIM[[#This Row],[Valore]],PIANI!A:A,0))</f>
        <v>MOBILE</v>
      </c>
      <c r="Q127" s="42">
        <f>+INDEX(PIANI!D:D,MATCH(INSERITO_KIM[[#This Row],[Valore]],PIANI!A:A,0))</f>
        <v>20</v>
      </c>
    </row>
    <row r="128" spans="1:17" x14ac:dyDescent="0.3">
      <c r="A128" s="42" t="s">
        <v>1385</v>
      </c>
      <c r="B128" s="42" t="s">
        <v>1386</v>
      </c>
      <c r="C128" s="42" t="s">
        <v>16</v>
      </c>
      <c r="D128">
        <v>24395534</v>
      </c>
      <c r="E128" s="42" t="s">
        <v>1387</v>
      </c>
      <c r="F128" s="42" t="s">
        <v>65</v>
      </c>
      <c r="G128">
        <v>20</v>
      </c>
      <c r="H128" s="42" t="s">
        <v>21</v>
      </c>
      <c r="I128">
        <v>9.9499999999999993</v>
      </c>
      <c r="J128" s="42" t="s">
        <v>14</v>
      </c>
      <c r="K128" s="42" t="s">
        <v>1388</v>
      </c>
      <c r="L128" s="10">
        <v>45913</v>
      </c>
      <c r="M128" s="42" t="s">
        <v>30</v>
      </c>
      <c r="N128" s="42" t="str">
        <f>+INDEX(COMSY!F:F,MATCH(INSERITO_KIM[[#This Row],[Codice Comsy Tecnico Attuale]],COMSY!E:E,0))</f>
        <v xml:space="preserve">S.O.S. SMARTPHONE DI GERARDO </v>
      </c>
      <c r="O128" s="42" t="str">
        <f>+INDEX(COMSY!G:G,MATCH(INSERITO_KIM[[#This Row],[Codice Comsy Tecnico Attuale]],COMSY!E:E,0))</f>
        <v>Giacomo</v>
      </c>
      <c r="P128" s="42" t="str">
        <f>+INDEX(PIANI!B:B,MATCH(INSERITO_KIM[[#This Row],[Valore]],PIANI!A:A,0))</f>
        <v>MOBILE</v>
      </c>
      <c r="Q128" s="42">
        <f>+INDEX(PIANI!D:D,MATCH(INSERITO_KIM[[#This Row],[Valore]],PIANI!A:A,0))</f>
        <v>20</v>
      </c>
    </row>
    <row r="129" spans="1:17" x14ac:dyDescent="0.3">
      <c r="A129" s="42" t="s">
        <v>1066</v>
      </c>
      <c r="B129" s="42" t="s">
        <v>1067</v>
      </c>
      <c r="C129" s="42" t="s">
        <v>16</v>
      </c>
      <c r="D129">
        <v>24372293</v>
      </c>
      <c r="E129" s="42" t="s">
        <v>1068</v>
      </c>
      <c r="F129" s="42" t="s">
        <v>82</v>
      </c>
      <c r="G129">
        <v>20</v>
      </c>
      <c r="H129" s="42" t="s">
        <v>21</v>
      </c>
      <c r="I129">
        <v>9.9499999999999993</v>
      </c>
      <c r="J129" s="42" t="s">
        <v>17</v>
      </c>
      <c r="K129" s="42" t="s">
        <v>17</v>
      </c>
      <c r="L129" s="10">
        <v>45904</v>
      </c>
      <c r="M129" s="42" t="s">
        <v>30</v>
      </c>
      <c r="N129" s="42" t="str">
        <f>+INDEX(COMSY!F:F,MATCH(INSERITO_KIM[[#This Row],[Codice Comsy Tecnico Attuale]],COMSY!E:E,0))</f>
        <v>BOXSTORE DI SAVINO</v>
      </c>
      <c r="O129" s="42" t="str">
        <f>+INDEX(COMSY!G:G,MATCH(INSERITO_KIM[[#This Row],[Codice Comsy Tecnico Attuale]],COMSY!E:E,0))</f>
        <v>Giacomo</v>
      </c>
      <c r="P129" s="42" t="str">
        <f>+INDEX(PIANI!B:B,MATCH(INSERITO_KIM[[#This Row],[Valore]],PIANI!A:A,0))</f>
        <v>MOBILE</v>
      </c>
      <c r="Q129" s="42">
        <f>+INDEX(PIANI!D:D,MATCH(INSERITO_KIM[[#This Row],[Valore]],PIANI!A:A,0))</f>
        <v>20</v>
      </c>
    </row>
    <row r="130" spans="1:17" x14ac:dyDescent="0.3">
      <c r="A130" s="42" t="s">
        <v>1069</v>
      </c>
      <c r="B130" s="42" t="s">
        <v>1070</v>
      </c>
      <c r="C130" s="42" t="s">
        <v>16</v>
      </c>
      <c r="D130">
        <v>24374252</v>
      </c>
      <c r="E130" s="42" t="s">
        <v>1071</v>
      </c>
      <c r="F130" s="42" t="s">
        <v>52</v>
      </c>
      <c r="G130">
        <v>20</v>
      </c>
      <c r="H130" s="42" t="s">
        <v>21</v>
      </c>
      <c r="I130">
        <v>9.9499999999999993</v>
      </c>
      <c r="J130" s="42" t="s">
        <v>17</v>
      </c>
      <c r="K130" s="42" t="s">
        <v>17</v>
      </c>
      <c r="L130" s="10">
        <v>45905</v>
      </c>
      <c r="M130" s="42" t="s">
        <v>30</v>
      </c>
      <c r="N130" s="42" t="str">
        <f>+INDEX(COMSY!F:F,MATCH(INSERITO_KIM[[#This Row],[Codice Comsy Tecnico Attuale]],COMSY!E:E,0))</f>
        <v>HUB 98 di DRAGONE GIUSEPPE</v>
      </c>
      <c r="O130" s="42" t="str">
        <f>+INDEX(COMSY!G:G,MATCH(INSERITO_KIM[[#This Row],[Codice Comsy Tecnico Attuale]],COMSY!E:E,0))</f>
        <v>Raffaele</v>
      </c>
      <c r="P130" s="42" t="str">
        <f>+INDEX(PIANI!B:B,MATCH(INSERITO_KIM[[#This Row],[Valore]],PIANI!A:A,0))</f>
        <v>MOBILE</v>
      </c>
      <c r="Q130" s="42">
        <f>+INDEX(PIANI!D:D,MATCH(INSERITO_KIM[[#This Row],[Valore]],PIANI!A:A,0))</f>
        <v>20</v>
      </c>
    </row>
    <row r="131" spans="1:17" x14ac:dyDescent="0.3">
      <c r="A131" s="42" t="s">
        <v>1072</v>
      </c>
      <c r="B131" s="42" t="s">
        <v>1073</v>
      </c>
      <c r="C131" s="42" t="s">
        <v>16</v>
      </c>
      <c r="D131">
        <v>24370133</v>
      </c>
      <c r="E131" s="42" t="s">
        <v>1074</v>
      </c>
      <c r="F131" s="42" t="s">
        <v>620</v>
      </c>
      <c r="G131">
        <v>20</v>
      </c>
      <c r="H131" s="42" t="s">
        <v>21</v>
      </c>
      <c r="I131">
        <v>9.9499999999999993</v>
      </c>
      <c r="J131" s="42" t="s">
        <v>17</v>
      </c>
      <c r="K131" s="42" t="s">
        <v>17</v>
      </c>
      <c r="L131" s="10">
        <v>45904</v>
      </c>
      <c r="M131" s="42" t="s">
        <v>30</v>
      </c>
      <c r="N131" s="42" t="str">
        <f>+INDEX(COMSY!F:F,MATCH(INSERITO_KIM[[#This Row],[Codice Comsy Tecnico Attuale]],COMSY!E:E,0))</f>
        <v>NASTI TECHNO STORE DI NASTI PIETRO</v>
      </c>
      <c r="O131" s="42" t="str">
        <f>+INDEX(COMSY!G:G,MATCH(INSERITO_KIM[[#This Row],[Codice Comsy Tecnico Attuale]],COMSY!E:E,0))</f>
        <v>Giacomo</v>
      </c>
      <c r="P131" s="42" t="str">
        <f>+INDEX(PIANI!B:B,MATCH(INSERITO_KIM[[#This Row],[Valore]],PIANI!A:A,0))</f>
        <v>MOBILE</v>
      </c>
      <c r="Q131" s="42">
        <f>+INDEX(PIANI!D:D,MATCH(INSERITO_KIM[[#This Row],[Valore]],PIANI!A:A,0))</f>
        <v>20</v>
      </c>
    </row>
    <row r="132" spans="1:17" x14ac:dyDescent="0.3">
      <c r="A132" s="42" t="s">
        <v>1075</v>
      </c>
      <c r="B132" s="42" t="s">
        <v>1076</v>
      </c>
      <c r="C132" s="42" t="s">
        <v>16</v>
      </c>
      <c r="D132">
        <v>24370250</v>
      </c>
      <c r="E132" s="42" t="s">
        <v>1077</v>
      </c>
      <c r="F132" s="42" t="s">
        <v>633</v>
      </c>
      <c r="G132">
        <v>20</v>
      </c>
      <c r="H132" s="42" t="s">
        <v>21</v>
      </c>
      <c r="I132">
        <v>9.9499999999999993</v>
      </c>
      <c r="J132" s="42" t="s">
        <v>17</v>
      </c>
      <c r="K132" s="42" t="s">
        <v>17</v>
      </c>
      <c r="L132" s="10">
        <v>45904</v>
      </c>
      <c r="M132" s="42" t="s">
        <v>30</v>
      </c>
      <c r="N132" s="42" t="str">
        <f>+INDEX(COMSY!F:F,MATCH(INSERITO_KIM[[#This Row],[Codice Comsy Tecnico Attuale]],COMSY!E:E,0))</f>
        <v>RISOLTO LAB MONOPOLI</v>
      </c>
      <c r="O132" s="42" t="str">
        <f>+INDEX(COMSY!G:G,MATCH(INSERITO_KIM[[#This Row],[Codice Comsy Tecnico Attuale]],COMSY!E:E,0))</f>
        <v>Giacomo</v>
      </c>
      <c r="P132" s="42" t="str">
        <f>+INDEX(PIANI!B:B,MATCH(INSERITO_KIM[[#This Row],[Valore]],PIANI!A:A,0))</f>
        <v>MOBILE</v>
      </c>
      <c r="Q132" s="42">
        <f>+INDEX(PIANI!D:D,MATCH(INSERITO_KIM[[#This Row],[Valore]],PIANI!A:A,0))</f>
        <v>20</v>
      </c>
    </row>
    <row r="133" spans="1:17" x14ac:dyDescent="0.3">
      <c r="A133" s="42" t="s">
        <v>1161</v>
      </c>
      <c r="B133" s="42" t="s">
        <v>1162</v>
      </c>
      <c r="C133" s="42" t="s">
        <v>16</v>
      </c>
      <c r="D133">
        <v>24377189</v>
      </c>
      <c r="E133" s="42" t="s">
        <v>1163</v>
      </c>
      <c r="F133" s="42" t="s">
        <v>633</v>
      </c>
      <c r="G133">
        <v>20</v>
      </c>
      <c r="H133" s="42" t="s">
        <v>21</v>
      </c>
      <c r="I133">
        <v>9.9499999999999993</v>
      </c>
      <c r="J133" s="42" t="s">
        <v>17</v>
      </c>
      <c r="K133" s="42" t="s">
        <v>17</v>
      </c>
      <c r="L133" s="10">
        <v>45908</v>
      </c>
      <c r="M133" s="42" t="s">
        <v>30</v>
      </c>
      <c r="N133" s="42" t="str">
        <f>+INDEX(COMSY!F:F,MATCH(INSERITO_KIM[[#This Row],[Codice Comsy Tecnico Attuale]],COMSY!E:E,0))</f>
        <v>RISOLTO LAB MONOPOLI</v>
      </c>
      <c r="O133" s="42" t="str">
        <f>+INDEX(COMSY!G:G,MATCH(INSERITO_KIM[[#This Row],[Codice Comsy Tecnico Attuale]],COMSY!E:E,0))</f>
        <v>Giacomo</v>
      </c>
      <c r="P133" s="42" t="str">
        <f>+INDEX(PIANI!B:B,MATCH(INSERITO_KIM[[#This Row],[Valore]],PIANI!A:A,0))</f>
        <v>MOBILE</v>
      </c>
      <c r="Q133" s="42">
        <f>+INDEX(PIANI!D:D,MATCH(INSERITO_KIM[[#This Row],[Valore]],PIANI!A:A,0))</f>
        <v>20</v>
      </c>
    </row>
    <row r="134" spans="1:17" x14ac:dyDescent="0.3">
      <c r="A134" s="42" t="s">
        <v>1231</v>
      </c>
      <c r="B134" s="42" t="s">
        <v>1232</v>
      </c>
      <c r="C134" s="42" t="s">
        <v>16</v>
      </c>
      <c r="D134">
        <v>24384545</v>
      </c>
      <c r="E134" s="42" t="s">
        <v>1233</v>
      </c>
      <c r="F134" s="42" t="s">
        <v>73</v>
      </c>
      <c r="G134">
        <v>20</v>
      </c>
      <c r="H134" s="42" t="s">
        <v>21</v>
      </c>
      <c r="I134">
        <v>9.9499999999999993</v>
      </c>
      <c r="J134" s="42" t="s">
        <v>17</v>
      </c>
      <c r="K134" s="42" t="s">
        <v>17</v>
      </c>
      <c r="L134" s="10">
        <v>45910</v>
      </c>
      <c r="M134" s="42" t="s">
        <v>30</v>
      </c>
      <c r="N134" s="42" t="str">
        <f>+INDEX(COMSY!F:F,MATCH(INSERITO_KIM[[#This Row],[Codice Comsy Tecnico Attuale]],COMSY!E:E,0))</f>
        <v>NICK TEL DI NICOLA MASTROCRISTINO</v>
      </c>
      <c r="O134" s="42" t="str">
        <f>+INDEX(COMSY!G:G,MATCH(INSERITO_KIM[[#This Row],[Codice Comsy Tecnico Attuale]],COMSY!E:E,0))</f>
        <v>Giacomo</v>
      </c>
      <c r="P134" s="42" t="str">
        <f>+INDEX(PIANI!B:B,MATCH(INSERITO_KIM[[#This Row],[Valore]],PIANI!A:A,0))</f>
        <v>MOBILE</v>
      </c>
      <c r="Q134" s="42">
        <f>+INDEX(PIANI!D:D,MATCH(INSERITO_KIM[[#This Row],[Valore]],PIANI!A:A,0))</f>
        <v>20</v>
      </c>
    </row>
    <row r="135" spans="1:17" x14ac:dyDescent="0.3">
      <c r="A135" s="42" t="s">
        <v>1078</v>
      </c>
      <c r="B135" s="42" t="s">
        <v>1079</v>
      </c>
      <c r="C135" s="42" t="s">
        <v>16</v>
      </c>
      <c r="D135">
        <v>24372422</v>
      </c>
      <c r="E135" s="42" t="s">
        <v>1080</v>
      </c>
      <c r="F135" s="42" t="s">
        <v>708</v>
      </c>
      <c r="G135">
        <v>20</v>
      </c>
      <c r="H135" s="42" t="s">
        <v>21</v>
      </c>
      <c r="I135">
        <v>9.9499999999999993</v>
      </c>
      <c r="J135" s="42" t="s">
        <v>17</v>
      </c>
      <c r="K135" s="42" t="s">
        <v>17</v>
      </c>
      <c r="L135" s="10">
        <v>45905</v>
      </c>
      <c r="M135" s="42" t="s">
        <v>30</v>
      </c>
      <c r="N135" s="42" t="str">
        <f>+INDEX(COMSY!F:F,MATCH(INSERITO_KIM[[#This Row],[Codice Comsy Tecnico Attuale]],COMSY!E:E,0))</f>
        <v>SMARTPHONE S.R.L.</v>
      </c>
      <c r="O135" s="42" t="str">
        <f>+INDEX(COMSY!G:G,MATCH(INSERITO_KIM[[#This Row],[Codice Comsy Tecnico Attuale]],COMSY!E:E,0))</f>
        <v>Giacomo</v>
      </c>
      <c r="P135" s="42" t="str">
        <f>+INDEX(PIANI!B:B,MATCH(INSERITO_KIM[[#This Row],[Valore]],PIANI!A:A,0))</f>
        <v>MOBILE</v>
      </c>
      <c r="Q135" s="42">
        <f>+INDEX(PIANI!D:D,MATCH(INSERITO_KIM[[#This Row],[Valore]],PIANI!A:A,0))</f>
        <v>20</v>
      </c>
    </row>
    <row r="136" spans="1:17" x14ac:dyDescent="0.3">
      <c r="A136" s="42" t="s">
        <v>959</v>
      </c>
      <c r="B136" s="42" t="s">
        <v>960</v>
      </c>
      <c r="C136" s="42" t="s">
        <v>16</v>
      </c>
      <c r="D136">
        <v>24367211</v>
      </c>
      <c r="E136" s="42" t="s">
        <v>961</v>
      </c>
      <c r="F136" s="42" t="s">
        <v>719</v>
      </c>
      <c r="G136">
        <v>20</v>
      </c>
      <c r="H136" s="42" t="s">
        <v>21</v>
      </c>
      <c r="I136">
        <v>8.9499999999999993</v>
      </c>
      <c r="J136" s="42" t="s">
        <v>17</v>
      </c>
      <c r="K136" s="42" t="s">
        <v>17</v>
      </c>
      <c r="L136" s="10">
        <v>45903</v>
      </c>
      <c r="M136" s="42" t="s">
        <v>30</v>
      </c>
      <c r="N136" s="42" t="str">
        <f>+INDEX(COMSY!F:F,MATCH(INSERITO_KIM[[#This Row],[Codice Comsy Tecnico Attuale]],COMSY!E:E,0))</f>
        <v>RENEWED S.R.L.</v>
      </c>
      <c r="O136" s="42" t="str">
        <f>+INDEX(COMSY!G:G,MATCH(INSERITO_KIM[[#This Row],[Codice Comsy Tecnico Attuale]],COMSY!E:E,0))</f>
        <v>Giacomo</v>
      </c>
      <c r="P136" s="42" t="str">
        <f>+INDEX(PIANI!B:B,MATCH(INSERITO_KIM[[#This Row],[Valore]],PIANI!A:A,0))</f>
        <v>MOBILE</v>
      </c>
      <c r="Q136" s="42">
        <f>+INDEX(PIANI!D:D,MATCH(INSERITO_KIM[[#This Row],[Valore]],PIANI!A:A,0))</f>
        <v>20</v>
      </c>
    </row>
    <row r="137" spans="1:17" x14ac:dyDescent="0.3">
      <c r="A137" s="42" t="s">
        <v>1319</v>
      </c>
      <c r="B137" s="42" t="s">
        <v>1320</v>
      </c>
      <c r="C137" s="42" t="s">
        <v>16</v>
      </c>
      <c r="D137">
        <v>24390969</v>
      </c>
      <c r="E137" s="42" t="s">
        <v>1321</v>
      </c>
      <c r="F137" s="42" t="s">
        <v>751</v>
      </c>
      <c r="G137">
        <v>20</v>
      </c>
      <c r="H137" s="42" t="s">
        <v>700</v>
      </c>
      <c r="I137">
        <v>33.9</v>
      </c>
      <c r="J137" s="42" t="s">
        <v>14</v>
      </c>
      <c r="K137" s="42" t="s">
        <v>780</v>
      </c>
      <c r="L137" s="10">
        <v>45912</v>
      </c>
      <c r="M137" s="42" t="s">
        <v>30</v>
      </c>
      <c r="N137" s="42" t="str">
        <f>+INDEX(COMSY!F:F,MATCH(INSERITO_KIM[[#This Row],[Codice Comsy Tecnico Attuale]],COMSY!E:E,0))</f>
        <v>S.I.P.R.A. ITALIA SAS DI LASALVIA M. &amp; MONTERISI G.</v>
      </c>
      <c r="O137" s="42" t="str">
        <f>+INDEX(COMSY!G:G,MATCH(INSERITO_KIM[[#This Row],[Codice Comsy Tecnico Attuale]],COMSY!E:E,0))</f>
        <v>Luigi</v>
      </c>
      <c r="P137" s="42" t="str">
        <f>+INDEX(PIANI!B:B,MATCH(INSERITO_KIM[[#This Row],[Valore]],PIANI!A:A,0))</f>
        <v>MOBILE</v>
      </c>
      <c r="Q137" s="42">
        <f>+INDEX(PIANI!D:D,MATCH(INSERITO_KIM[[#This Row],[Valore]],PIANI!A:A,0))</f>
        <v>20</v>
      </c>
    </row>
    <row r="138" spans="1:17" x14ac:dyDescent="0.3">
      <c r="A138" s="42" t="s">
        <v>1271</v>
      </c>
      <c r="B138" s="42" t="s">
        <v>1272</v>
      </c>
      <c r="C138" s="42" t="s">
        <v>16</v>
      </c>
      <c r="D138">
        <v>24390405</v>
      </c>
      <c r="E138" s="42" t="s">
        <v>1273</v>
      </c>
      <c r="F138" s="42" t="s">
        <v>768</v>
      </c>
      <c r="G138">
        <v>20</v>
      </c>
      <c r="H138" s="42" t="s">
        <v>700</v>
      </c>
      <c r="I138">
        <v>35.9</v>
      </c>
      <c r="J138" s="42" t="s">
        <v>14</v>
      </c>
      <c r="K138" s="42" t="s">
        <v>780</v>
      </c>
      <c r="L138" s="10">
        <v>45911</v>
      </c>
      <c r="M138" s="42" t="s">
        <v>30</v>
      </c>
      <c r="N138" s="42" t="str">
        <f>+INDEX(COMSY!F:F,MATCH(INSERITO_KIM[[#This Row],[Codice Comsy Tecnico Attuale]],COMSY!E:E,0))</f>
        <v>ESSE.RRE UFFICIO</v>
      </c>
      <c r="O138" s="42" t="str">
        <f>+INDEX(COMSY!G:G,MATCH(INSERITO_KIM[[#This Row],[Codice Comsy Tecnico Attuale]],COMSY!E:E,0))</f>
        <v>Giacomo</v>
      </c>
      <c r="P138" s="42" t="str">
        <f>+INDEX(PIANI!B:B,MATCH(INSERITO_KIM[[#This Row],[Valore]],PIANI!A:A,0))</f>
        <v>MOBILE</v>
      </c>
      <c r="Q138" s="42">
        <f>+INDEX(PIANI!D:D,MATCH(INSERITO_KIM[[#This Row],[Valore]],PIANI!A:A,0))</f>
        <v>20</v>
      </c>
    </row>
    <row r="139" spans="1:17" x14ac:dyDescent="0.3">
      <c r="A139" s="42" t="s">
        <v>823</v>
      </c>
      <c r="B139" s="42" t="s">
        <v>824</v>
      </c>
      <c r="C139" s="42" t="s">
        <v>16</v>
      </c>
      <c r="D139">
        <v>24361841</v>
      </c>
      <c r="E139" s="42" t="s">
        <v>825</v>
      </c>
      <c r="F139" s="42" t="s">
        <v>114</v>
      </c>
      <c r="G139">
        <v>20</v>
      </c>
      <c r="H139" s="42" t="s">
        <v>700</v>
      </c>
      <c r="I139">
        <v>32.9</v>
      </c>
      <c r="J139" s="42" t="s">
        <v>17</v>
      </c>
      <c r="K139" s="42" t="s">
        <v>17</v>
      </c>
      <c r="L139" s="10">
        <v>45901</v>
      </c>
      <c r="M139" s="42" t="s">
        <v>30</v>
      </c>
      <c r="N139" s="42" t="str">
        <f>+INDEX(COMSY!F:F,MATCH(INSERITO_KIM[[#This Row],[Codice Comsy Tecnico Attuale]],COMSY!E:E,0))</f>
        <v>MILILLO GIUSEPPE</v>
      </c>
      <c r="O139" s="42" t="str">
        <f>+INDEX(COMSY!G:G,MATCH(INSERITO_KIM[[#This Row],[Codice Comsy Tecnico Attuale]],COMSY!E:E,0))</f>
        <v>Giacomo</v>
      </c>
      <c r="P139" s="42" t="str">
        <f>+INDEX(PIANI!B:B,MATCH(INSERITO_KIM[[#This Row],[Valore]],PIANI!A:A,0))</f>
        <v>MOBILE</v>
      </c>
      <c r="Q139" s="42">
        <f>+INDEX(PIANI!D:D,MATCH(INSERITO_KIM[[#This Row],[Valore]],PIANI!A:A,0))</f>
        <v>20</v>
      </c>
    </row>
    <row r="140" spans="1:17" x14ac:dyDescent="0.3">
      <c r="A140" s="42" t="s">
        <v>996</v>
      </c>
      <c r="B140" s="42" t="s">
        <v>997</v>
      </c>
      <c r="C140" s="42" t="s">
        <v>16</v>
      </c>
      <c r="D140">
        <v>24375276</v>
      </c>
      <c r="E140" s="42" t="s">
        <v>998</v>
      </c>
      <c r="F140" s="42" t="s">
        <v>62</v>
      </c>
      <c r="G140">
        <v>20</v>
      </c>
      <c r="H140" s="42" t="s">
        <v>700</v>
      </c>
      <c r="I140">
        <v>33.9</v>
      </c>
      <c r="J140" s="42" t="s">
        <v>17</v>
      </c>
      <c r="K140" s="42" t="s">
        <v>17</v>
      </c>
      <c r="L140" s="10">
        <v>45906</v>
      </c>
      <c r="M140" s="42" t="s">
        <v>30</v>
      </c>
      <c r="N140" s="42" t="str">
        <f>+INDEX(COMSY!F:F,MATCH(INSERITO_KIM[[#This Row],[Codice Comsy Tecnico Attuale]],COMSY!E:E,0))</f>
        <v xml:space="preserve">INFOPOINT DI DEL VECCHIO ROSA E CORTIGIANO CARMELA </v>
      </c>
      <c r="O140" s="42" t="str">
        <f>+INDEX(COMSY!G:G,MATCH(INSERITO_KIM[[#This Row],[Codice Comsy Tecnico Attuale]],COMSY!E:E,0))</f>
        <v>Giacomo</v>
      </c>
      <c r="P140" s="42" t="str">
        <f>+INDEX(PIANI!B:B,MATCH(INSERITO_KIM[[#This Row],[Valore]],PIANI!A:A,0))</f>
        <v>MOBILE</v>
      </c>
      <c r="Q140" s="42">
        <f>+INDEX(PIANI!D:D,MATCH(INSERITO_KIM[[#This Row],[Valore]],PIANI!A:A,0))</f>
        <v>20</v>
      </c>
    </row>
    <row r="141" spans="1:17" x14ac:dyDescent="0.3">
      <c r="A141" s="42" t="s">
        <v>950</v>
      </c>
      <c r="B141" s="42" t="s">
        <v>951</v>
      </c>
      <c r="C141" s="42" t="s">
        <v>16</v>
      </c>
      <c r="D141">
        <v>24367643</v>
      </c>
      <c r="E141" s="42" t="s">
        <v>1191</v>
      </c>
      <c r="F141" s="42" t="s">
        <v>62</v>
      </c>
      <c r="G141">
        <v>20</v>
      </c>
      <c r="H141" s="42" t="s">
        <v>21</v>
      </c>
      <c r="I141">
        <v>9.9499999999999993</v>
      </c>
      <c r="J141" s="42" t="s">
        <v>17</v>
      </c>
      <c r="K141" s="42" t="s">
        <v>17</v>
      </c>
      <c r="L141" s="10">
        <v>45909</v>
      </c>
      <c r="M141" s="42" t="s">
        <v>30</v>
      </c>
      <c r="N141" s="42" t="str">
        <f>+INDEX(COMSY!F:F,MATCH(INSERITO_KIM[[#This Row],[Codice Comsy Tecnico Attuale]],COMSY!E:E,0))</f>
        <v xml:space="preserve">INFOPOINT DI DEL VECCHIO ROSA E CORTIGIANO CARMELA </v>
      </c>
      <c r="O141" s="42" t="str">
        <f>+INDEX(COMSY!G:G,MATCH(INSERITO_KIM[[#This Row],[Codice Comsy Tecnico Attuale]],COMSY!E:E,0))</f>
        <v>Giacomo</v>
      </c>
      <c r="P141" s="42" t="str">
        <f>+INDEX(PIANI!B:B,MATCH(INSERITO_KIM[[#This Row],[Valore]],PIANI!A:A,0))</f>
        <v>MOBILE</v>
      </c>
      <c r="Q141" s="42">
        <f>+INDEX(PIANI!D:D,MATCH(INSERITO_KIM[[#This Row],[Valore]],PIANI!A:A,0))</f>
        <v>20</v>
      </c>
    </row>
    <row r="142" spans="1:17" x14ac:dyDescent="0.3">
      <c r="A142" s="42" t="s">
        <v>962</v>
      </c>
      <c r="B142" s="42" t="s">
        <v>963</v>
      </c>
      <c r="C142" s="42" t="s">
        <v>16</v>
      </c>
      <c r="D142">
        <v>24366942</v>
      </c>
      <c r="E142" s="42" t="s">
        <v>964</v>
      </c>
      <c r="F142" s="42" t="s">
        <v>75</v>
      </c>
      <c r="G142">
        <v>20</v>
      </c>
      <c r="H142" s="42" t="s">
        <v>700</v>
      </c>
      <c r="I142">
        <v>34.9</v>
      </c>
      <c r="J142" s="42" t="s">
        <v>14</v>
      </c>
      <c r="K142" s="42" t="s">
        <v>877</v>
      </c>
      <c r="L142" s="10">
        <v>45903</v>
      </c>
      <c r="M142" s="42" t="s">
        <v>30</v>
      </c>
      <c r="N142" s="42" t="str">
        <f>+INDEX(COMSY!F:F,MATCH(INSERITO_KIM[[#This Row],[Codice Comsy Tecnico Attuale]],COMSY!E:E,0))</f>
        <v xml:space="preserve">DE TOMMASO ANTONIO         </v>
      </c>
      <c r="O142" s="42" t="str">
        <f>+INDEX(COMSY!G:G,MATCH(INSERITO_KIM[[#This Row],[Codice Comsy Tecnico Attuale]],COMSY!E:E,0))</f>
        <v>Giacomo</v>
      </c>
      <c r="P142" s="42" t="str">
        <f>+INDEX(PIANI!B:B,MATCH(INSERITO_KIM[[#This Row],[Valore]],PIANI!A:A,0))</f>
        <v>MOBILE</v>
      </c>
      <c r="Q142" s="42">
        <f>+INDEX(PIANI!D:D,MATCH(INSERITO_KIM[[#This Row],[Valore]],PIANI!A:A,0))</f>
        <v>20</v>
      </c>
    </row>
    <row r="143" spans="1:17" x14ac:dyDescent="0.3">
      <c r="A143" s="42" t="s">
        <v>1234</v>
      </c>
      <c r="B143" s="42" t="s">
        <v>1235</v>
      </c>
      <c r="C143" s="42" t="s">
        <v>16</v>
      </c>
      <c r="D143">
        <v>20355601</v>
      </c>
      <c r="E143" s="42" t="s">
        <v>1236</v>
      </c>
      <c r="F143" s="42" t="s">
        <v>275</v>
      </c>
      <c r="G143">
        <v>20</v>
      </c>
      <c r="H143" s="42" t="s">
        <v>21</v>
      </c>
      <c r="I143">
        <v>9.9499999999999993</v>
      </c>
      <c r="J143" s="42" t="s">
        <v>14</v>
      </c>
      <c r="K143" s="42" t="s">
        <v>23</v>
      </c>
      <c r="L143" s="10">
        <v>45910</v>
      </c>
      <c r="M143" s="42" t="s">
        <v>30</v>
      </c>
      <c r="N143" s="42" t="str">
        <f>+INDEX(COMSY!F:F,MATCH(INSERITO_KIM[[#This Row],[Codice Comsy Tecnico Attuale]],COMSY!E:E,0))</f>
        <v>BLINK S.R.L.</v>
      </c>
      <c r="O143" s="42" t="str">
        <f>+INDEX(COMSY!G:G,MATCH(INSERITO_KIM[[#This Row],[Codice Comsy Tecnico Attuale]],COMSY!E:E,0))</f>
        <v>Giacomo</v>
      </c>
      <c r="P143" s="42" t="str">
        <f>+INDEX(PIANI!B:B,MATCH(INSERITO_KIM[[#This Row],[Valore]],PIANI!A:A,0))</f>
        <v>MOBILE</v>
      </c>
      <c r="Q143" s="42">
        <f>+INDEX(PIANI!D:D,MATCH(INSERITO_KIM[[#This Row],[Valore]],PIANI!A:A,0))</f>
        <v>20</v>
      </c>
    </row>
    <row r="144" spans="1:17" x14ac:dyDescent="0.3">
      <c r="A144" s="42" t="s">
        <v>1389</v>
      </c>
      <c r="B144" s="42" t="s">
        <v>1390</v>
      </c>
      <c r="C144" s="42" t="s">
        <v>16</v>
      </c>
      <c r="D144">
        <v>24395412</v>
      </c>
      <c r="E144" s="42" t="s">
        <v>1391</v>
      </c>
      <c r="F144" s="42" t="s">
        <v>69</v>
      </c>
      <c r="G144">
        <v>20</v>
      </c>
      <c r="H144" s="42" t="s">
        <v>21</v>
      </c>
      <c r="I144">
        <v>9.9499999999999993</v>
      </c>
      <c r="J144" s="42" t="s">
        <v>14</v>
      </c>
      <c r="K144" s="42" t="s">
        <v>23</v>
      </c>
      <c r="L144" s="10">
        <v>45913</v>
      </c>
      <c r="M144" s="42" t="s">
        <v>30</v>
      </c>
      <c r="N144" s="42" t="str">
        <f>+INDEX(COMSY!F:F,MATCH(INSERITO_KIM[[#This Row],[Codice Comsy Tecnico Attuale]],COMSY!E:E,0))</f>
        <v>DEBATECH DI DE PIANO DINA</v>
      </c>
      <c r="O144" s="42" t="str">
        <f>+INDEX(COMSY!G:G,MATCH(INSERITO_KIM[[#This Row],[Codice Comsy Tecnico Attuale]],COMSY!E:E,0))</f>
        <v>Giacomo</v>
      </c>
      <c r="P144" s="42" t="str">
        <f>+INDEX(PIANI!B:B,MATCH(INSERITO_KIM[[#This Row],[Valore]],PIANI!A:A,0))</f>
        <v>MOBILE</v>
      </c>
      <c r="Q144" s="42">
        <f>+INDEX(PIANI!D:D,MATCH(INSERITO_KIM[[#This Row],[Valore]],PIANI!A:A,0))</f>
        <v>20</v>
      </c>
    </row>
    <row r="145" spans="1:17" x14ac:dyDescent="0.3">
      <c r="A145" s="42" t="s">
        <v>1081</v>
      </c>
      <c r="B145" s="42" t="s">
        <v>1082</v>
      </c>
      <c r="C145" s="42" t="s">
        <v>16</v>
      </c>
      <c r="D145">
        <v>24372207</v>
      </c>
      <c r="E145" s="42" t="s">
        <v>1083</v>
      </c>
      <c r="F145" s="42" t="s">
        <v>103</v>
      </c>
      <c r="G145">
        <v>20</v>
      </c>
      <c r="H145" s="42" t="s">
        <v>21</v>
      </c>
      <c r="I145">
        <v>9.9499999999999993</v>
      </c>
      <c r="J145" s="42" t="s">
        <v>17</v>
      </c>
      <c r="K145" s="42" t="s">
        <v>17</v>
      </c>
      <c r="L145" s="10">
        <v>45904</v>
      </c>
      <c r="M145" s="42" t="s">
        <v>30</v>
      </c>
      <c r="N145" s="42" t="str">
        <f>+INDEX(COMSY!F:F,MATCH(INSERITO_KIM[[#This Row],[Codice Comsy Tecnico Attuale]],COMSY!E:E,0))</f>
        <v>GIOVE - TECH DI CIAFARDONI NELLO</v>
      </c>
      <c r="O145" s="42" t="str">
        <f>+INDEX(COMSY!G:G,MATCH(INSERITO_KIM[[#This Row],[Codice Comsy Tecnico Attuale]],COMSY!E:E,0))</f>
        <v>Luigi</v>
      </c>
      <c r="P145" s="42" t="str">
        <f>+INDEX(PIANI!B:B,MATCH(INSERITO_KIM[[#This Row],[Valore]],PIANI!A:A,0))</f>
        <v>MOBILE</v>
      </c>
      <c r="Q145" s="42">
        <f>+INDEX(PIANI!D:D,MATCH(INSERITO_KIM[[#This Row],[Valore]],PIANI!A:A,0))</f>
        <v>20</v>
      </c>
    </row>
    <row r="146" spans="1:17" x14ac:dyDescent="0.3">
      <c r="A146" s="42" t="s">
        <v>1084</v>
      </c>
      <c r="B146" s="42" t="s">
        <v>1085</v>
      </c>
      <c r="C146" s="42" t="s">
        <v>16</v>
      </c>
      <c r="D146">
        <v>24372313</v>
      </c>
      <c r="E146" s="42" t="s">
        <v>1086</v>
      </c>
      <c r="F146" s="42" t="s">
        <v>82</v>
      </c>
      <c r="G146">
        <v>20</v>
      </c>
      <c r="H146" s="42" t="s">
        <v>21</v>
      </c>
      <c r="I146">
        <v>9.9499999999999993</v>
      </c>
      <c r="J146" s="42" t="s">
        <v>17</v>
      </c>
      <c r="K146" s="42" t="s">
        <v>17</v>
      </c>
      <c r="L146" s="10">
        <v>45904</v>
      </c>
      <c r="M146" s="42" t="s">
        <v>30</v>
      </c>
      <c r="N146" s="42" t="str">
        <f>+INDEX(COMSY!F:F,MATCH(INSERITO_KIM[[#This Row],[Codice Comsy Tecnico Attuale]],COMSY!E:E,0))</f>
        <v>BOXSTORE DI SAVINO</v>
      </c>
      <c r="O146" s="42" t="str">
        <f>+INDEX(COMSY!G:G,MATCH(INSERITO_KIM[[#This Row],[Codice Comsy Tecnico Attuale]],COMSY!E:E,0))</f>
        <v>Giacomo</v>
      </c>
      <c r="P146" s="42" t="str">
        <f>+INDEX(PIANI!B:B,MATCH(INSERITO_KIM[[#This Row],[Valore]],PIANI!A:A,0))</f>
        <v>MOBILE</v>
      </c>
      <c r="Q146" s="42">
        <f>+INDEX(PIANI!D:D,MATCH(INSERITO_KIM[[#This Row],[Valore]],PIANI!A:A,0))</f>
        <v>20</v>
      </c>
    </row>
    <row r="147" spans="1:17" x14ac:dyDescent="0.3">
      <c r="A147" s="42" t="s">
        <v>1237</v>
      </c>
      <c r="B147" s="42" t="s">
        <v>1238</v>
      </c>
      <c r="C147" s="42" t="s">
        <v>16</v>
      </c>
      <c r="D147">
        <v>24387307</v>
      </c>
      <c r="E147" s="42" t="s">
        <v>1239</v>
      </c>
      <c r="F147" s="42" t="s">
        <v>82</v>
      </c>
      <c r="G147">
        <v>20</v>
      </c>
      <c r="H147" s="42" t="s">
        <v>21</v>
      </c>
      <c r="I147">
        <v>9.9499999999999993</v>
      </c>
      <c r="J147" s="42" t="s">
        <v>14</v>
      </c>
      <c r="K147" s="42" t="s">
        <v>23</v>
      </c>
      <c r="L147" s="10">
        <v>45910</v>
      </c>
      <c r="M147" s="42" t="s">
        <v>30</v>
      </c>
      <c r="N147" s="42" t="str">
        <f>+INDEX(COMSY!F:F,MATCH(INSERITO_KIM[[#This Row],[Codice Comsy Tecnico Attuale]],COMSY!E:E,0))</f>
        <v>BOXSTORE DI SAVINO</v>
      </c>
      <c r="O147" s="42" t="str">
        <f>+INDEX(COMSY!G:G,MATCH(INSERITO_KIM[[#This Row],[Codice Comsy Tecnico Attuale]],COMSY!E:E,0))</f>
        <v>Giacomo</v>
      </c>
      <c r="P147" s="42" t="str">
        <f>+INDEX(PIANI!B:B,MATCH(INSERITO_KIM[[#This Row],[Valore]],PIANI!A:A,0))</f>
        <v>MOBILE</v>
      </c>
      <c r="Q147" s="42">
        <f>+INDEX(PIANI!D:D,MATCH(INSERITO_KIM[[#This Row],[Valore]],PIANI!A:A,0))</f>
        <v>20</v>
      </c>
    </row>
    <row r="148" spans="1:17" x14ac:dyDescent="0.3">
      <c r="A148" s="42" t="s">
        <v>907</v>
      </c>
      <c r="B148" s="42" t="s">
        <v>908</v>
      </c>
      <c r="C148" s="42" t="s">
        <v>16</v>
      </c>
      <c r="D148">
        <v>24363504</v>
      </c>
      <c r="E148" s="42" t="s">
        <v>909</v>
      </c>
      <c r="F148" s="42" t="s">
        <v>52</v>
      </c>
      <c r="G148">
        <v>20</v>
      </c>
      <c r="H148" s="42" t="s">
        <v>21</v>
      </c>
      <c r="I148">
        <v>8.9499999999999993</v>
      </c>
      <c r="J148" s="42" t="s">
        <v>17</v>
      </c>
      <c r="K148" s="42" t="s">
        <v>17</v>
      </c>
      <c r="L148" s="10">
        <v>45902</v>
      </c>
      <c r="M148" s="42" t="s">
        <v>30</v>
      </c>
      <c r="N148" s="42" t="str">
        <f>+INDEX(COMSY!F:F,MATCH(INSERITO_KIM[[#This Row],[Codice Comsy Tecnico Attuale]],COMSY!E:E,0))</f>
        <v>HUB 98 di DRAGONE GIUSEPPE</v>
      </c>
      <c r="O148" s="42" t="str">
        <f>+INDEX(COMSY!G:G,MATCH(INSERITO_KIM[[#This Row],[Codice Comsy Tecnico Attuale]],COMSY!E:E,0))</f>
        <v>Raffaele</v>
      </c>
      <c r="P148" s="42" t="str">
        <f>+INDEX(PIANI!B:B,MATCH(INSERITO_KIM[[#This Row],[Valore]],PIANI!A:A,0))</f>
        <v>MOBILE</v>
      </c>
      <c r="Q148" s="42">
        <f>+INDEX(PIANI!D:D,MATCH(INSERITO_KIM[[#This Row],[Valore]],PIANI!A:A,0))</f>
        <v>20</v>
      </c>
    </row>
    <row r="149" spans="1:17" x14ac:dyDescent="0.3">
      <c r="A149" s="42" t="s">
        <v>1274</v>
      </c>
      <c r="B149" s="42" t="s">
        <v>1275</v>
      </c>
      <c r="C149" s="42" t="s">
        <v>16</v>
      </c>
      <c r="D149">
        <v>24387622</v>
      </c>
      <c r="E149" s="42" t="s">
        <v>1276</v>
      </c>
      <c r="F149" s="42" t="s">
        <v>52</v>
      </c>
      <c r="G149">
        <v>20</v>
      </c>
      <c r="H149" s="42" t="s">
        <v>21</v>
      </c>
      <c r="I149">
        <v>9.9499999999999993</v>
      </c>
      <c r="J149" s="42" t="s">
        <v>14</v>
      </c>
      <c r="K149" s="42" t="s">
        <v>23</v>
      </c>
      <c r="L149" s="10">
        <v>45911</v>
      </c>
      <c r="M149" s="42" t="s">
        <v>30</v>
      </c>
      <c r="N149" s="42" t="str">
        <f>+INDEX(COMSY!F:F,MATCH(INSERITO_KIM[[#This Row],[Codice Comsy Tecnico Attuale]],COMSY!E:E,0))</f>
        <v>HUB 98 di DRAGONE GIUSEPPE</v>
      </c>
      <c r="O149" s="42" t="str">
        <f>+INDEX(COMSY!G:G,MATCH(INSERITO_KIM[[#This Row],[Codice Comsy Tecnico Attuale]],COMSY!E:E,0))</f>
        <v>Raffaele</v>
      </c>
      <c r="P149" s="42" t="str">
        <f>+INDEX(PIANI!B:B,MATCH(INSERITO_KIM[[#This Row],[Valore]],PIANI!A:A,0))</f>
        <v>MOBILE</v>
      </c>
      <c r="Q149" s="42">
        <f>+INDEX(PIANI!D:D,MATCH(INSERITO_KIM[[#This Row],[Valore]],PIANI!A:A,0))</f>
        <v>20</v>
      </c>
    </row>
    <row r="150" spans="1:17" x14ac:dyDescent="0.3">
      <c r="A150" s="42" t="s">
        <v>910</v>
      </c>
      <c r="B150" s="42" t="s">
        <v>911</v>
      </c>
      <c r="C150" s="42" t="s">
        <v>16</v>
      </c>
      <c r="D150">
        <v>24365974</v>
      </c>
      <c r="E150" s="42" t="s">
        <v>912</v>
      </c>
      <c r="F150" s="42" t="s">
        <v>620</v>
      </c>
      <c r="G150">
        <v>20</v>
      </c>
      <c r="H150" s="42" t="s">
        <v>21</v>
      </c>
      <c r="I150">
        <v>8.9499999999999993</v>
      </c>
      <c r="J150" s="42" t="s">
        <v>17</v>
      </c>
      <c r="K150" s="42" t="s">
        <v>17</v>
      </c>
      <c r="L150" s="10">
        <v>45902</v>
      </c>
      <c r="M150" s="42" t="s">
        <v>30</v>
      </c>
      <c r="N150" s="42" t="str">
        <f>+INDEX(COMSY!F:F,MATCH(INSERITO_KIM[[#This Row],[Codice Comsy Tecnico Attuale]],COMSY!E:E,0))</f>
        <v>NASTI TECHNO STORE DI NASTI PIETRO</v>
      </c>
      <c r="O150" s="42" t="str">
        <f>+INDEX(COMSY!G:G,MATCH(INSERITO_KIM[[#This Row],[Codice Comsy Tecnico Attuale]],COMSY!E:E,0))</f>
        <v>Giacomo</v>
      </c>
      <c r="P150" s="42" t="str">
        <f>+INDEX(PIANI!B:B,MATCH(INSERITO_KIM[[#This Row],[Valore]],PIANI!A:A,0))</f>
        <v>MOBILE</v>
      </c>
      <c r="Q150" s="42">
        <f>+INDEX(PIANI!D:D,MATCH(INSERITO_KIM[[#This Row],[Valore]],PIANI!A:A,0))</f>
        <v>20</v>
      </c>
    </row>
    <row r="151" spans="1:17" x14ac:dyDescent="0.3">
      <c r="A151" s="42" t="s">
        <v>1277</v>
      </c>
      <c r="B151" s="42" t="s">
        <v>1278</v>
      </c>
      <c r="C151" s="42" t="s">
        <v>16</v>
      </c>
      <c r="D151">
        <v>24389677</v>
      </c>
      <c r="E151" s="42" t="s">
        <v>1279</v>
      </c>
      <c r="F151" s="42" t="s">
        <v>633</v>
      </c>
      <c r="G151">
        <v>20</v>
      </c>
      <c r="H151" s="42" t="s">
        <v>21</v>
      </c>
      <c r="I151">
        <v>9.9499999999999993</v>
      </c>
      <c r="J151" s="42" t="s">
        <v>14</v>
      </c>
      <c r="K151" s="42" t="s">
        <v>23</v>
      </c>
      <c r="L151" s="10">
        <v>45911</v>
      </c>
      <c r="M151" s="42" t="s">
        <v>30</v>
      </c>
      <c r="N151" s="42" t="str">
        <f>+INDEX(COMSY!F:F,MATCH(INSERITO_KIM[[#This Row],[Codice Comsy Tecnico Attuale]],COMSY!E:E,0))</f>
        <v>RISOLTO LAB MONOPOLI</v>
      </c>
      <c r="O151" s="42" t="str">
        <f>+INDEX(COMSY!G:G,MATCH(INSERITO_KIM[[#This Row],[Codice Comsy Tecnico Attuale]],COMSY!E:E,0))</f>
        <v>Giacomo</v>
      </c>
      <c r="P151" s="42" t="str">
        <f>+INDEX(PIANI!B:B,MATCH(INSERITO_KIM[[#This Row],[Valore]],PIANI!A:A,0))</f>
        <v>MOBILE</v>
      </c>
      <c r="Q151" s="42">
        <f>+INDEX(PIANI!D:D,MATCH(INSERITO_KIM[[#This Row],[Valore]],PIANI!A:A,0))</f>
        <v>20</v>
      </c>
    </row>
    <row r="152" spans="1:17" x14ac:dyDescent="0.3">
      <c r="A152" s="42" t="s">
        <v>895</v>
      </c>
      <c r="B152" s="42" t="s">
        <v>896</v>
      </c>
      <c r="C152" s="42" t="s">
        <v>16</v>
      </c>
      <c r="D152">
        <v>24363941</v>
      </c>
      <c r="E152" s="42" t="s">
        <v>897</v>
      </c>
      <c r="F152" s="42" t="s">
        <v>664</v>
      </c>
      <c r="G152">
        <v>20</v>
      </c>
      <c r="H152" s="42" t="s">
        <v>700</v>
      </c>
      <c r="I152">
        <v>32.9</v>
      </c>
      <c r="J152" s="42" t="s">
        <v>14</v>
      </c>
      <c r="K152" s="42" t="s">
        <v>877</v>
      </c>
      <c r="L152" s="10">
        <v>45902</v>
      </c>
      <c r="M152" s="42" t="s">
        <v>30</v>
      </c>
      <c r="N152" s="42" t="str">
        <f>+INDEX(COMSY!F:F,MATCH(INSERITO_KIM[[#This Row],[Codice Comsy Tecnico Attuale]],COMSY!E:E,0))</f>
        <v>DECOM</v>
      </c>
      <c r="O152" s="42" t="str">
        <f>+INDEX(COMSY!G:G,MATCH(INSERITO_KIM[[#This Row],[Codice Comsy Tecnico Attuale]],COMSY!E:E,0))</f>
        <v>Giacomo</v>
      </c>
      <c r="P152" s="42" t="str">
        <f>+INDEX(PIANI!B:B,MATCH(INSERITO_KIM[[#This Row],[Valore]],PIANI!A:A,0))</f>
        <v>MOBILE</v>
      </c>
      <c r="Q152" s="42">
        <f>+INDEX(PIANI!D:D,MATCH(INSERITO_KIM[[#This Row],[Valore]],PIANI!A:A,0))</f>
        <v>20</v>
      </c>
    </row>
    <row r="153" spans="1:17" x14ac:dyDescent="0.3">
      <c r="A153" s="42" t="s">
        <v>965</v>
      </c>
      <c r="B153" s="42" t="s">
        <v>966</v>
      </c>
      <c r="C153" s="42" t="s">
        <v>16</v>
      </c>
      <c r="D153">
        <v>24369708</v>
      </c>
      <c r="E153" s="42" t="s">
        <v>967</v>
      </c>
      <c r="F153" s="42" t="s">
        <v>664</v>
      </c>
      <c r="G153">
        <v>20</v>
      </c>
      <c r="H153" s="42" t="s">
        <v>21</v>
      </c>
      <c r="I153">
        <v>8.9499999999999993</v>
      </c>
      <c r="J153" s="42" t="s">
        <v>17</v>
      </c>
      <c r="K153" s="42" t="s">
        <v>17</v>
      </c>
      <c r="L153" s="10">
        <v>45903</v>
      </c>
      <c r="M153" s="42" t="s">
        <v>30</v>
      </c>
      <c r="N153" s="42" t="str">
        <f>+INDEX(COMSY!F:F,MATCH(INSERITO_KIM[[#This Row],[Codice Comsy Tecnico Attuale]],COMSY!E:E,0))</f>
        <v>DECOM</v>
      </c>
      <c r="O153" s="42" t="str">
        <f>+INDEX(COMSY!G:G,MATCH(INSERITO_KIM[[#This Row],[Codice Comsy Tecnico Attuale]],COMSY!E:E,0))</f>
        <v>Giacomo</v>
      </c>
      <c r="P153" s="42" t="str">
        <f>+INDEX(PIANI!B:B,MATCH(INSERITO_KIM[[#This Row],[Valore]],PIANI!A:A,0))</f>
        <v>MOBILE</v>
      </c>
      <c r="Q153" s="42">
        <f>+INDEX(PIANI!D:D,MATCH(INSERITO_KIM[[#This Row],[Valore]],PIANI!A:A,0))</f>
        <v>20</v>
      </c>
    </row>
    <row r="154" spans="1:17" x14ac:dyDescent="0.3">
      <c r="A154" s="42" t="s">
        <v>1213</v>
      </c>
      <c r="B154" s="42" t="s">
        <v>1214</v>
      </c>
      <c r="C154" s="42" t="s">
        <v>16</v>
      </c>
      <c r="D154">
        <v>24384052</v>
      </c>
      <c r="E154" s="42" t="s">
        <v>1215</v>
      </c>
      <c r="F154" s="42" t="s">
        <v>664</v>
      </c>
      <c r="G154">
        <v>40</v>
      </c>
      <c r="H154" s="42" t="s">
        <v>700</v>
      </c>
      <c r="I154">
        <v>43.85</v>
      </c>
      <c r="J154" s="42" t="s">
        <v>14</v>
      </c>
      <c r="K154" s="42" t="s">
        <v>1118</v>
      </c>
      <c r="L154" s="10">
        <v>45910</v>
      </c>
      <c r="M154" s="42" t="s">
        <v>30</v>
      </c>
      <c r="N154" s="42" t="str">
        <f>+INDEX(COMSY!F:F,MATCH(INSERITO_KIM[[#This Row],[Codice Comsy Tecnico Attuale]],COMSY!E:E,0))</f>
        <v>DECOM</v>
      </c>
      <c r="O154" s="42" t="str">
        <f>+INDEX(COMSY!G:G,MATCH(INSERITO_KIM[[#This Row],[Codice Comsy Tecnico Attuale]],COMSY!E:E,0))</f>
        <v>Giacomo</v>
      </c>
      <c r="P154" s="42" t="str">
        <f>+INDEX(PIANI!B:B,MATCH(INSERITO_KIM[[#This Row],[Valore]],PIANI!A:A,0))</f>
        <v>MOBILE</v>
      </c>
      <c r="Q154" s="42">
        <f>+INDEX(PIANI!D:D,MATCH(INSERITO_KIM[[#This Row],[Valore]],PIANI!A:A,0))</f>
        <v>20</v>
      </c>
    </row>
    <row r="155" spans="1:17" x14ac:dyDescent="0.3">
      <c r="A155" s="42" t="s">
        <v>1213</v>
      </c>
      <c r="B155" s="42" t="s">
        <v>1214</v>
      </c>
      <c r="C155" s="42" t="s">
        <v>16</v>
      </c>
      <c r="D155">
        <v>24384052</v>
      </c>
      <c r="E155" s="42" t="s">
        <v>1215</v>
      </c>
      <c r="F155" s="42" t="s">
        <v>664</v>
      </c>
      <c r="G155">
        <v>40</v>
      </c>
      <c r="H155" s="42" t="s">
        <v>700</v>
      </c>
      <c r="I155">
        <v>43.85</v>
      </c>
      <c r="J155" s="42" t="s">
        <v>14</v>
      </c>
      <c r="K155" s="42" t="s">
        <v>1118</v>
      </c>
      <c r="L155" s="10">
        <v>45910</v>
      </c>
      <c r="M155" s="42" t="s">
        <v>30</v>
      </c>
      <c r="N155" s="42" t="str">
        <f>+INDEX(COMSY!F:F,MATCH(INSERITO_KIM[[#This Row],[Codice Comsy Tecnico Attuale]],COMSY!E:E,0))</f>
        <v>DECOM</v>
      </c>
      <c r="O155" s="42" t="str">
        <f>+INDEX(COMSY!G:G,MATCH(INSERITO_KIM[[#This Row],[Codice Comsy Tecnico Attuale]],COMSY!E:E,0))</f>
        <v>Giacomo</v>
      </c>
      <c r="P155" s="42" t="str">
        <f>+INDEX(PIANI!B:B,MATCH(INSERITO_KIM[[#This Row],[Valore]],PIANI!A:A,0))</f>
        <v>MOBILE</v>
      </c>
      <c r="Q155" s="42">
        <f>+INDEX(PIANI!D:D,MATCH(INSERITO_KIM[[#This Row],[Valore]],PIANI!A:A,0))</f>
        <v>20</v>
      </c>
    </row>
    <row r="156" spans="1:17" x14ac:dyDescent="0.3">
      <c r="A156" s="42" t="s">
        <v>1192</v>
      </c>
      <c r="B156" s="42" t="s">
        <v>1193</v>
      </c>
      <c r="C156" s="42" t="s">
        <v>16</v>
      </c>
      <c r="D156">
        <v>24380816</v>
      </c>
      <c r="E156" s="42" t="s">
        <v>1194</v>
      </c>
      <c r="F156" s="42" t="s">
        <v>73</v>
      </c>
      <c r="G156">
        <v>80</v>
      </c>
      <c r="H156" s="42" t="s">
        <v>21</v>
      </c>
      <c r="I156">
        <v>39.799999999999997</v>
      </c>
      <c r="J156" s="42" t="s">
        <v>17</v>
      </c>
      <c r="K156" s="42" t="s">
        <v>17</v>
      </c>
      <c r="L156" s="10">
        <v>45909</v>
      </c>
      <c r="M156" s="42" t="s">
        <v>30</v>
      </c>
      <c r="N156" s="42" t="str">
        <f>+INDEX(COMSY!F:F,MATCH(INSERITO_KIM[[#This Row],[Codice Comsy Tecnico Attuale]],COMSY!E:E,0))</f>
        <v>NICK TEL DI NICOLA MASTROCRISTINO</v>
      </c>
      <c r="O156" s="42" t="str">
        <f>+INDEX(COMSY!G:G,MATCH(INSERITO_KIM[[#This Row],[Codice Comsy Tecnico Attuale]],COMSY!E:E,0))</f>
        <v>Giacomo</v>
      </c>
      <c r="P156" s="42" t="str">
        <f>+INDEX(PIANI!B:B,MATCH(INSERITO_KIM[[#This Row],[Valore]],PIANI!A:A,0))</f>
        <v>MOBILE</v>
      </c>
      <c r="Q156" s="42">
        <f>+INDEX(PIANI!D:D,MATCH(INSERITO_KIM[[#This Row],[Valore]],PIANI!A:A,0))</f>
        <v>20</v>
      </c>
    </row>
    <row r="157" spans="1:17" x14ac:dyDescent="0.3">
      <c r="A157" s="42" t="s">
        <v>1192</v>
      </c>
      <c r="B157" s="42" t="s">
        <v>1193</v>
      </c>
      <c r="C157" s="42" t="s">
        <v>16</v>
      </c>
      <c r="D157">
        <v>24380816</v>
      </c>
      <c r="E157" s="42" t="s">
        <v>1194</v>
      </c>
      <c r="F157" s="42" t="s">
        <v>73</v>
      </c>
      <c r="G157">
        <v>80</v>
      </c>
      <c r="H157" s="42" t="s">
        <v>21</v>
      </c>
      <c r="I157">
        <v>39.799999999999997</v>
      </c>
      <c r="J157" s="42" t="s">
        <v>17</v>
      </c>
      <c r="K157" s="42" t="s">
        <v>17</v>
      </c>
      <c r="L157" s="10">
        <v>45909</v>
      </c>
      <c r="M157" s="42" t="s">
        <v>30</v>
      </c>
      <c r="N157" s="42" t="str">
        <f>+INDEX(COMSY!F:F,MATCH(INSERITO_KIM[[#This Row],[Codice Comsy Tecnico Attuale]],COMSY!E:E,0))</f>
        <v>NICK TEL DI NICOLA MASTROCRISTINO</v>
      </c>
      <c r="O157" s="42" t="str">
        <f>+INDEX(COMSY!G:G,MATCH(INSERITO_KIM[[#This Row],[Codice Comsy Tecnico Attuale]],COMSY!E:E,0))</f>
        <v>Giacomo</v>
      </c>
      <c r="P157" s="42" t="str">
        <f>+INDEX(PIANI!B:B,MATCH(INSERITO_KIM[[#This Row],[Valore]],PIANI!A:A,0))</f>
        <v>MOBILE</v>
      </c>
      <c r="Q157" s="42">
        <f>+INDEX(PIANI!D:D,MATCH(INSERITO_KIM[[#This Row],[Valore]],PIANI!A:A,0))</f>
        <v>20</v>
      </c>
    </row>
    <row r="158" spans="1:17" x14ac:dyDescent="0.3">
      <c r="A158" s="42" t="s">
        <v>1192</v>
      </c>
      <c r="B158" s="42" t="s">
        <v>1193</v>
      </c>
      <c r="C158" s="42" t="s">
        <v>16</v>
      </c>
      <c r="D158">
        <v>24380816</v>
      </c>
      <c r="E158" s="42" t="s">
        <v>1194</v>
      </c>
      <c r="F158" s="42" t="s">
        <v>73</v>
      </c>
      <c r="G158">
        <v>80</v>
      </c>
      <c r="H158" s="42" t="s">
        <v>21</v>
      </c>
      <c r="I158">
        <v>39.799999999999997</v>
      </c>
      <c r="J158" s="42" t="s">
        <v>17</v>
      </c>
      <c r="K158" s="42" t="s">
        <v>17</v>
      </c>
      <c r="L158" s="10">
        <v>45909</v>
      </c>
      <c r="M158" s="42" t="s">
        <v>30</v>
      </c>
      <c r="N158" s="42" t="str">
        <f>+INDEX(COMSY!F:F,MATCH(INSERITO_KIM[[#This Row],[Codice Comsy Tecnico Attuale]],COMSY!E:E,0))</f>
        <v>NICK TEL DI NICOLA MASTROCRISTINO</v>
      </c>
      <c r="O158" s="42" t="str">
        <f>+INDEX(COMSY!G:G,MATCH(INSERITO_KIM[[#This Row],[Codice Comsy Tecnico Attuale]],COMSY!E:E,0))</f>
        <v>Giacomo</v>
      </c>
      <c r="P158" s="42" t="str">
        <f>+INDEX(PIANI!B:B,MATCH(INSERITO_KIM[[#This Row],[Valore]],PIANI!A:A,0))</f>
        <v>MOBILE</v>
      </c>
      <c r="Q158" s="42">
        <f>+INDEX(PIANI!D:D,MATCH(INSERITO_KIM[[#This Row],[Valore]],PIANI!A:A,0))</f>
        <v>20</v>
      </c>
    </row>
    <row r="159" spans="1:17" x14ac:dyDescent="0.3">
      <c r="A159" s="42" t="s">
        <v>1192</v>
      </c>
      <c r="B159" s="42" t="s">
        <v>1193</v>
      </c>
      <c r="C159" s="42" t="s">
        <v>16</v>
      </c>
      <c r="D159">
        <v>24380816</v>
      </c>
      <c r="E159" s="42" t="s">
        <v>1194</v>
      </c>
      <c r="F159" s="42" t="s">
        <v>73</v>
      </c>
      <c r="G159">
        <v>80</v>
      </c>
      <c r="H159" s="42" t="s">
        <v>21</v>
      </c>
      <c r="I159">
        <v>39.799999999999997</v>
      </c>
      <c r="J159" s="42" t="s">
        <v>17</v>
      </c>
      <c r="K159" s="42" t="s">
        <v>17</v>
      </c>
      <c r="L159" s="10">
        <v>45909</v>
      </c>
      <c r="M159" s="42" t="s">
        <v>30</v>
      </c>
      <c r="N159" s="42" t="str">
        <f>+INDEX(COMSY!F:F,MATCH(INSERITO_KIM[[#This Row],[Codice Comsy Tecnico Attuale]],COMSY!E:E,0))</f>
        <v>NICK TEL DI NICOLA MASTROCRISTINO</v>
      </c>
      <c r="O159" s="42" t="str">
        <f>+INDEX(COMSY!G:G,MATCH(INSERITO_KIM[[#This Row],[Codice Comsy Tecnico Attuale]],COMSY!E:E,0))</f>
        <v>Giacomo</v>
      </c>
      <c r="P159" s="42" t="str">
        <f>+INDEX(PIANI!B:B,MATCH(INSERITO_KIM[[#This Row],[Valore]],PIANI!A:A,0))</f>
        <v>MOBILE</v>
      </c>
      <c r="Q159" s="42">
        <f>+INDEX(PIANI!D:D,MATCH(INSERITO_KIM[[#This Row],[Valore]],PIANI!A:A,0))</f>
        <v>20</v>
      </c>
    </row>
    <row r="160" spans="1:17" x14ac:dyDescent="0.3">
      <c r="A160" s="42" t="s">
        <v>1140</v>
      </c>
      <c r="B160" s="42" t="s">
        <v>1141</v>
      </c>
      <c r="C160" s="42" t="s">
        <v>16</v>
      </c>
      <c r="D160">
        <v>24377421</v>
      </c>
      <c r="E160" s="42" t="s">
        <v>1142</v>
      </c>
      <c r="F160" s="42" t="s">
        <v>719</v>
      </c>
      <c r="G160">
        <v>20</v>
      </c>
      <c r="H160" s="42" t="s">
        <v>700</v>
      </c>
      <c r="I160">
        <v>33.9</v>
      </c>
      <c r="J160" s="42" t="s">
        <v>14</v>
      </c>
      <c r="K160" s="42" t="s">
        <v>877</v>
      </c>
      <c r="L160" s="10">
        <v>45908</v>
      </c>
      <c r="M160" s="42" t="s">
        <v>30</v>
      </c>
      <c r="N160" s="42" t="str">
        <f>+INDEX(COMSY!F:F,MATCH(INSERITO_KIM[[#This Row],[Codice Comsy Tecnico Attuale]],COMSY!E:E,0))</f>
        <v>RENEWED S.R.L.</v>
      </c>
      <c r="O160" s="42" t="str">
        <f>+INDEX(COMSY!G:G,MATCH(INSERITO_KIM[[#This Row],[Codice Comsy Tecnico Attuale]],COMSY!E:E,0))</f>
        <v>Giacomo</v>
      </c>
      <c r="P160" s="42" t="str">
        <f>+INDEX(PIANI!B:B,MATCH(INSERITO_KIM[[#This Row],[Valore]],PIANI!A:A,0))</f>
        <v>MOBILE</v>
      </c>
      <c r="Q160" s="42">
        <f>+INDEX(PIANI!D:D,MATCH(INSERITO_KIM[[#This Row],[Valore]],PIANI!A:A,0))</f>
        <v>20</v>
      </c>
    </row>
    <row r="161" spans="1:17" x14ac:dyDescent="0.3">
      <c r="A161" s="42" t="s">
        <v>1280</v>
      </c>
      <c r="B161" s="42" t="s">
        <v>1281</v>
      </c>
      <c r="C161" s="42" t="s">
        <v>16</v>
      </c>
      <c r="D161">
        <v>24390332</v>
      </c>
      <c r="E161" s="42" t="s">
        <v>1282</v>
      </c>
      <c r="F161" s="42" t="s">
        <v>84</v>
      </c>
      <c r="G161">
        <v>20</v>
      </c>
      <c r="H161" s="42" t="s">
        <v>21</v>
      </c>
      <c r="I161">
        <v>9.9499999999999993</v>
      </c>
      <c r="J161" s="42" t="s">
        <v>14</v>
      </c>
      <c r="K161" s="42" t="s">
        <v>804</v>
      </c>
      <c r="L161" s="10">
        <v>45911</v>
      </c>
      <c r="M161" s="42" t="s">
        <v>30</v>
      </c>
      <c r="N161" s="42" t="str">
        <f>+INDEX(COMSY!F:F,MATCH(INSERITO_KIM[[#This Row],[Codice Comsy Tecnico Attuale]],COMSY!E:E,0))</f>
        <v>LEVAPHONE DI LEVA ANTONIO</v>
      </c>
      <c r="O161" s="42" t="str">
        <f>+INDEX(COMSY!G:G,MATCH(INSERITO_KIM[[#This Row],[Codice Comsy Tecnico Attuale]],COMSY!E:E,0))</f>
        <v>Giacomo</v>
      </c>
      <c r="P161" s="42" t="str">
        <f>+INDEX(PIANI!B:B,MATCH(INSERITO_KIM[[#This Row],[Valore]],PIANI!A:A,0))</f>
        <v>MOBILE</v>
      </c>
      <c r="Q161" s="42">
        <f>+INDEX(PIANI!D:D,MATCH(INSERITO_KIM[[#This Row],[Valore]],PIANI!A:A,0))</f>
        <v>20</v>
      </c>
    </row>
    <row r="162" spans="1:17" x14ac:dyDescent="0.3">
      <c r="A162" s="42" t="s">
        <v>1256</v>
      </c>
      <c r="B162" s="42" t="s">
        <v>1257</v>
      </c>
      <c r="C162" s="42" t="s">
        <v>16</v>
      </c>
      <c r="D162">
        <v>24390411</v>
      </c>
      <c r="E162" s="42" t="s">
        <v>1258</v>
      </c>
      <c r="F162" s="42" t="s">
        <v>751</v>
      </c>
      <c r="G162">
        <v>20</v>
      </c>
      <c r="H162" s="42" t="s">
        <v>700</v>
      </c>
      <c r="I162">
        <v>33.9</v>
      </c>
      <c r="J162" s="42" t="s">
        <v>14</v>
      </c>
      <c r="K162" s="42" t="s">
        <v>780</v>
      </c>
      <c r="L162" s="10">
        <v>45911</v>
      </c>
      <c r="M162" s="42" t="s">
        <v>30</v>
      </c>
      <c r="N162" s="42" t="str">
        <f>+INDEX(COMSY!F:F,MATCH(INSERITO_KIM[[#This Row],[Codice Comsy Tecnico Attuale]],COMSY!E:E,0))</f>
        <v>S.I.P.R.A. ITALIA SAS DI LASALVIA M. &amp; MONTERISI G.</v>
      </c>
      <c r="O162" s="42" t="str">
        <f>+INDEX(COMSY!G:G,MATCH(INSERITO_KIM[[#This Row],[Codice Comsy Tecnico Attuale]],COMSY!E:E,0))</f>
        <v>Luigi</v>
      </c>
      <c r="P162" s="42" t="str">
        <f>+INDEX(PIANI!B:B,MATCH(INSERITO_KIM[[#This Row],[Valore]],PIANI!A:A,0))</f>
        <v>MOBILE</v>
      </c>
      <c r="Q162" s="42">
        <f>+INDEX(PIANI!D:D,MATCH(INSERITO_KIM[[#This Row],[Valore]],PIANI!A:A,0))</f>
        <v>20</v>
      </c>
    </row>
    <row r="163" spans="1:17" x14ac:dyDescent="0.3">
      <c r="A163" s="42" t="s">
        <v>968</v>
      </c>
      <c r="B163" s="42" t="s">
        <v>969</v>
      </c>
      <c r="C163" s="42" t="s">
        <v>16</v>
      </c>
      <c r="D163">
        <v>24367751</v>
      </c>
      <c r="E163" s="42" t="s">
        <v>970</v>
      </c>
      <c r="F163" s="42" t="s">
        <v>114</v>
      </c>
      <c r="G163">
        <v>20</v>
      </c>
      <c r="H163" s="42" t="s">
        <v>21</v>
      </c>
      <c r="I163">
        <v>8.9499999999999993</v>
      </c>
      <c r="J163" s="42" t="s">
        <v>17</v>
      </c>
      <c r="K163" s="42" t="s">
        <v>17</v>
      </c>
      <c r="L163" s="10">
        <v>45903</v>
      </c>
      <c r="M163" s="42" t="s">
        <v>30</v>
      </c>
      <c r="N163" s="42" t="str">
        <f>+INDEX(COMSY!F:F,MATCH(INSERITO_KIM[[#This Row],[Codice Comsy Tecnico Attuale]],COMSY!E:E,0))</f>
        <v>MILILLO GIUSEPPE</v>
      </c>
      <c r="O163" s="42" t="str">
        <f>+INDEX(COMSY!G:G,MATCH(INSERITO_KIM[[#This Row],[Codice Comsy Tecnico Attuale]],COMSY!E:E,0))</f>
        <v>Giacomo</v>
      </c>
      <c r="P163" s="42" t="str">
        <f>+INDEX(PIANI!B:B,MATCH(INSERITO_KIM[[#This Row],[Valore]],PIANI!A:A,0))</f>
        <v>MOBILE</v>
      </c>
      <c r="Q163" s="42">
        <f>+INDEX(PIANI!D:D,MATCH(INSERITO_KIM[[#This Row],[Valore]],PIANI!A:A,0))</f>
        <v>20</v>
      </c>
    </row>
    <row r="164" spans="1:17" x14ac:dyDescent="0.3">
      <c r="A164" s="42" t="s">
        <v>913</v>
      </c>
      <c r="B164" s="42" t="s">
        <v>914</v>
      </c>
      <c r="C164" s="42" t="s">
        <v>16</v>
      </c>
      <c r="D164">
        <v>24364249</v>
      </c>
      <c r="E164" s="42" t="s">
        <v>915</v>
      </c>
      <c r="F164" s="42" t="s">
        <v>64</v>
      </c>
      <c r="G164">
        <v>20</v>
      </c>
      <c r="H164" s="42" t="s">
        <v>21</v>
      </c>
      <c r="I164">
        <v>8.9499999999999993</v>
      </c>
      <c r="J164" s="42" t="s">
        <v>17</v>
      </c>
      <c r="K164" s="42" t="s">
        <v>17</v>
      </c>
      <c r="L164" s="10">
        <v>45902</v>
      </c>
      <c r="M164" s="42" t="s">
        <v>30</v>
      </c>
      <c r="N164" s="42" t="str">
        <f>+INDEX(COMSY!F:F,MATCH(INSERITO_KIM[[#This Row],[Codice Comsy Tecnico Attuale]],COMSY!E:E,0))</f>
        <v>MEDIA CENTER DI LUCA BARBERIO</v>
      </c>
      <c r="O164" s="42" t="str">
        <f>+INDEX(COMSY!G:G,MATCH(INSERITO_KIM[[#This Row],[Codice Comsy Tecnico Attuale]],COMSY!E:E,0))</f>
        <v>Giacomo</v>
      </c>
      <c r="P164" s="42" t="str">
        <f>+INDEX(PIANI!B:B,MATCH(INSERITO_KIM[[#This Row],[Valore]],PIANI!A:A,0))</f>
        <v>MOBILE</v>
      </c>
      <c r="Q164" s="42">
        <f>+INDEX(PIANI!D:D,MATCH(INSERITO_KIM[[#This Row],[Valore]],PIANI!A:A,0))</f>
        <v>20</v>
      </c>
    </row>
    <row r="165" spans="1:17" x14ac:dyDescent="0.3">
      <c r="A165" s="42" t="s">
        <v>971</v>
      </c>
      <c r="B165" s="42" t="s">
        <v>972</v>
      </c>
      <c r="C165" s="42" t="s">
        <v>16</v>
      </c>
      <c r="D165">
        <v>24369682</v>
      </c>
      <c r="E165" s="42" t="s">
        <v>973</v>
      </c>
      <c r="F165" s="42" t="s">
        <v>64</v>
      </c>
      <c r="G165">
        <v>20</v>
      </c>
      <c r="H165" s="42" t="s">
        <v>21</v>
      </c>
      <c r="I165">
        <v>8.9499999999999993</v>
      </c>
      <c r="J165" s="42" t="s">
        <v>17</v>
      </c>
      <c r="K165" s="42" t="s">
        <v>17</v>
      </c>
      <c r="L165" s="10">
        <v>45903</v>
      </c>
      <c r="M165" s="42" t="s">
        <v>30</v>
      </c>
      <c r="N165" s="42" t="str">
        <f>+INDEX(COMSY!F:F,MATCH(INSERITO_KIM[[#This Row],[Codice Comsy Tecnico Attuale]],COMSY!E:E,0))</f>
        <v>MEDIA CENTER DI LUCA BARBERIO</v>
      </c>
      <c r="O165" s="42" t="str">
        <f>+INDEX(COMSY!G:G,MATCH(INSERITO_KIM[[#This Row],[Codice Comsy Tecnico Attuale]],COMSY!E:E,0))</f>
        <v>Giacomo</v>
      </c>
      <c r="P165" s="42" t="str">
        <f>+INDEX(PIANI!B:B,MATCH(INSERITO_KIM[[#This Row],[Valore]],PIANI!A:A,0))</f>
        <v>MOBILE</v>
      </c>
      <c r="Q165" s="42">
        <f>+INDEX(PIANI!D:D,MATCH(INSERITO_KIM[[#This Row],[Valore]],PIANI!A:A,0))</f>
        <v>20</v>
      </c>
    </row>
    <row r="166" spans="1:17" x14ac:dyDescent="0.3">
      <c r="A166" s="42" t="s">
        <v>1195</v>
      </c>
      <c r="B166" s="42" t="s">
        <v>1196</v>
      </c>
      <c r="C166" s="42" t="s">
        <v>16</v>
      </c>
      <c r="D166">
        <v>24381219</v>
      </c>
      <c r="E166" s="42" t="s">
        <v>1197</v>
      </c>
      <c r="F166" s="42" t="s">
        <v>64</v>
      </c>
      <c r="G166">
        <v>20</v>
      </c>
      <c r="H166" s="42" t="s">
        <v>21</v>
      </c>
      <c r="I166">
        <v>9.9499999999999993</v>
      </c>
      <c r="J166" s="42" t="s">
        <v>17</v>
      </c>
      <c r="K166" s="42" t="s">
        <v>17</v>
      </c>
      <c r="L166" s="10">
        <v>45909</v>
      </c>
      <c r="M166" s="42" t="s">
        <v>30</v>
      </c>
      <c r="N166" s="42" t="str">
        <f>+INDEX(COMSY!F:F,MATCH(INSERITO_KIM[[#This Row],[Codice Comsy Tecnico Attuale]],COMSY!E:E,0))</f>
        <v>MEDIA CENTER DI LUCA BARBERIO</v>
      </c>
      <c r="O166" s="42" t="str">
        <f>+INDEX(COMSY!G:G,MATCH(INSERITO_KIM[[#This Row],[Codice Comsy Tecnico Attuale]],COMSY!E:E,0))</f>
        <v>Giacomo</v>
      </c>
      <c r="P166" s="42" t="str">
        <f>+INDEX(PIANI!B:B,MATCH(INSERITO_KIM[[#This Row],[Valore]],PIANI!A:A,0))</f>
        <v>MOBILE</v>
      </c>
      <c r="Q166" s="42">
        <f>+INDEX(PIANI!D:D,MATCH(INSERITO_KIM[[#This Row],[Valore]],PIANI!A:A,0))</f>
        <v>20</v>
      </c>
    </row>
    <row r="167" spans="1:17" x14ac:dyDescent="0.3">
      <c r="A167" s="42" t="s">
        <v>996</v>
      </c>
      <c r="B167" s="42" t="s">
        <v>997</v>
      </c>
      <c r="C167" s="42" t="s">
        <v>16</v>
      </c>
      <c r="D167">
        <v>24375216</v>
      </c>
      <c r="E167" s="42" t="s">
        <v>1087</v>
      </c>
      <c r="F167" s="42" t="s">
        <v>62</v>
      </c>
      <c r="G167">
        <v>20</v>
      </c>
      <c r="H167" s="42" t="s">
        <v>21</v>
      </c>
      <c r="I167">
        <v>9.9499999999999993</v>
      </c>
      <c r="J167" s="42" t="s">
        <v>17</v>
      </c>
      <c r="K167" s="42" t="s">
        <v>17</v>
      </c>
      <c r="L167" s="10">
        <v>45906</v>
      </c>
      <c r="M167" s="42" t="s">
        <v>30</v>
      </c>
      <c r="N167" s="42" t="str">
        <f>+INDEX(COMSY!F:F,MATCH(INSERITO_KIM[[#This Row],[Codice Comsy Tecnico Attuale]],COMSY!E:E,0))</f>
        <v xml:space="preserve">INFOPOINT DI DEL VECCHIO ROSA E CORTIGIANO CARMELA </v>
      </c>
      <c r="O167" s="42" t="str">
        <f>+INDEX(COMSY!G:G,MATCH(INSERITO_KIM[[#This Row],[Codice Comsy Tecnico Attuale]],COMSY!E:E,0))</f>
        <v>Giacomo</v>
      </c>
      <c r="P167" s="42" t="str">
        <f>+INDEX(PIANI!B:B,MATCH(INSERITO_KIM[[#This Row],[Valore]],PIANI!A:A,0))</f>
        <v>MOBILE</v>
      </c>
      <c r="Q167" s="42">
        <f>+INDEX(PIANI!D:D,MATCH(INSERITO_KIM[[#This Row],[Valore]],PIANI!A:A,0))</f>
        <v>20</v>
      </c>
    </row>
    <row r="168" spans="1:17" x14ac:dyDescent="0.3">
      <c r="A168" s="42" t="s">
        <v>1198</v>
      </c>
      <c r="B168" s="42" t="s">
        <v>1199</v>
      </c>
      <c r="C168" s="42" t="s">
        <v>16</v>
      </c>
      <c r="D168">
        <v>24381336</v>
      </c>
      <c r="E168" s="42" t="s">
        <v>1200</v>
      </c>
      <c r="F168" s="42" t="s">
        <v>75</v>
      </c>
      <c r="G168">
        <v>20</v>
      </c>
      <c r="H168" s="42" t="s">
        <v>21</v>
      </c>
      <c r="I168">
        <v>9.9499999999999993</v>
      </c>
      <c r="J168" s="42" t="s">
        <v>17</v>
      </c>
      <c r="K168" s="42" t="s">
        <v>17</v>
      </c>
      <c r="L168" s="10">
        <v>45909</v>
      </c>
      <c r="M168" s="42" t="s">
        <v>30</v>
      </c>
      <c r="N168" s="42" t="str">
        <f>+INDEX(COMSY!F:F,MATCH(INSERITO_KIM[[#This Row],[Codice Comsy Tecnico Attuale]],COMSY!E:E,0))</f>
        <v xml:space="preserve">DE TOMMASO ANTONIO         </v>
      </c>
      <c r="O168" s="42" t="str">
        <f>+INDEX(COMSY!G:G,MATCH(INSERITO_KIM[[#This Row],[Codice Comsy Tecnico Attuale]],COMSY!E:E,0))</f>
        <v>Giacomo</v>
      </c>
      <c r="P168" s="42" t="str">
        <f>+INDEX(PIANI!B:B,MATCH(INSERITO_KIM[[#This Row],[Valore]],PIANI!A:A,0))</f>
        <v>MOBILE</v>
      </c>
      <c r="Q168" s="42">
        <f>+INDEX(PIANI!D:D,MATCH(INSERITO_KIM[[#This Row],[Valore]],PIANI!A:A,0))</f>
        <v>20</v>
      </c>
    </row>
    <row r="169" spans="1:17" x14ac:dyDescent="0.3">
      <c r="A169" s="42" t="s">
        <v>1164</v>
      </c>
      <c r="B169" s="42" t="s">
        <v>1165</v>
      </c>
      <c r="C169" s="42" t="s">
        <v>16</v>
      </c>
      <c r="D169">
        <v>24379570</v>
      </c>
      <c r="E169" s="42" t="s">
        <v>1166</v>
      </c>
      <c r="F169" s="42" t="s">
        <v>65</v>
      </c>
      <c r="G169">
        <v>20</v>
      </c>
      <c r="H169" s="42" t="s">
        <v>21</v>
      </c>
      <c r="I169">
        <v>9.9499999999999993</v>
      </c>
      <c r="J169" s="42" t="s">
        <v>17</v>
      </c>
      <c r="K169" s="42" t="s">
        <v>17</v>
      </c>
      <c r="L169" s="10">
        <v>45908</v>
      </c>
      <c r="M169" s="42" t="s">
        <v>30</v>
      </c>
      <c r="N169" s="42" t="str">
        <f>+INDEX(COMSY!F:F,MATCH(INSERITO_KIM[[#This Row],[Codice Comsy Tecnico Attuale]],COMSY!E:E,0))</f>
        <v xml:space="preserve">S.O.S. SMARTPHONE DI GERARDO </v>
      </c>
      <c r="O169" s="42" t="str">
        <f>+INDEX(COMSY!G:G,MATCH(INSERITO_KIM[[#This Row],[Codice Comsy Tecnico Attuale]],COMSY!E:E,0))</f>
        <v>Giacomo</v>
      </c>
      <c r="P169" s="42" t="str">
        <f>+INDEX(PIANI!B:B,MATCH(INSERITO_KIM[[#This Row],[Valore]],PIANI!A:A,0))</f>
        <v>MOBILE</v>
      </c>
      <c r="Q169" s="42">
        <f>+INDEX(PIANI!D:D,MATCH(INSERITO_KIM[[#This Row],[Valore]],PIANI!A:A,0))</f>
        <v>20</v>
      </c>
    </row>
    <row r="170" spans="1:17" x14ac:dyDescent="0.3">
      <c r="A170" s="42" t="s">
        <v>1392</v>
      </c>
      <c r="B170" s="42" t="s">
        <v>1393</v>
      </c>
      <c r="C170" s="42" t="s">
        <v>16</v>
      </c>
      <c r="D170">
        <v>24394208</v>
      </c>
      <c r="E170" s="42" t="s">
        <v>1394</v>
      </c>
      <c r="F170" s="42" t="s">
        <v>208</v>
      </c>
      <c r="G170">
        <v>20</v>
      </c>
      <c r="H170" s="42" t="s">
        <v>21</v>
      </c>
      <c r="I170">
        <v>9.9499999999999993</v>
      </c>
      <c r="J170" s="42" t="s">
        <v>14</v>
      </c>
      <c r="K170" s="42" t="s">
        <v>23</v>
      </c>
      <c r="L170" s="10">
        <v>45913</v>
      </c>
      <c r="M170" s="42" t="s">
        <v>30</v>
      </c>
      <c r="N170" s="42" t="str">
        <f>+INDEX(COMSY!F:F,MATCH(INSERITO_KIM[[#This Row],[Codice Comsy Tecnico Attuale]],COMSY!E:E,0))</f>
        <v>ELECTROASSIST DI LABIENTE LAZZARO</v>
      </c>
      <c r="O170" s="42" t="str">
        <f>+INDEX(COMSY!G:G,MATCH(INSERITO_KIM[[#This Row],[Codice Comsy Tecnico Attuale]],COMSY!E:E,0))</f>
        <v>Luigi</v>
      </c>
      <c r="P170" s="42" t="str">
        <f>+INDEX(PIANI!B:B,MATCH(INSERITO_KIM[[#This Row],[Valore]],PIANI!A:A,0))</f>
        <v>MOBILE</v>
      </c>
      <c r="Q170" s="42">
        <f>+INDEX(PIANI!D:D,MATCH(INSERITO_KIM[[#This Row],[Valore]],PIANI!A:A,0))</f>
        <v>20</v>
      </c>
    </row>
    <row r="171" spans="1:17" x14ac:dyDescent="0.3">
      <c r="A171" s="42" t="s">
        <v>1283</v>
      </c>
      <c r="B171" s="42" t="s">
        <v>1284</v>
      </c>
      <c r="C171" s="42" t="s">
        <v>16</v>
      </c>
      <c r="D171">
        <v>24390314</v>
      </c>
      <c r="E171" s="42" t="s">
        <v>1285</v>
      </c>
      <c r="F171" s="42" t="s">
        <v>52</v>
      </c>
      <c r="G171">
        <v>20</v>
      </c>
      <c r="H171" s="42" t="s">
        <v>21</v>
      </c>
      <c r="I171">
        <v>9.9499999999999993</v>
      </c>
      <c r="J171" s="42" t="s">
        <v>14</v>
      </c>
      <c r="K171" s="42" t="s">
        <v>23</v>
      </c>
      <c r="L171" s="10">
        <v>45911</v>
      </c>
      <c r="M171" s="42" t="s">
        <v>30</v>
      </c>
      <c r="N171" s="42" t="str">
        <f>+INDEX(COMSY!F:F,MATCH(INSERITO_KIM[[#This Row],[Codice Comsy Tecnico Attuale]],COMSY!E:E,0))</f>
        <v>HUB 98 di DRAGONE GIUSEPPE</v>
      </c>
      <c r="O171" s="42" t="str">
        <f>+INDEX(COMSY!G:G,MATCH(INSERITO_KIM[[#This Row],[Codice Comsy Tecnico Attuale]],COMSY!E:E,0))</f>
        <v>Raffaele</v>
      </c>
      <c r="P171" s="42" t="str">
        <f>+INDEX(PIANI!B:B,MATCH(INSERITO_KIM[[#This Row],[Valore]],PIANI!A:A,0))</f>
        <v>MOBILE</v>
      </c>
      <c r="Q171" s="42">
        <f>+INDEX(PIANI!D:D,MATCH(INSERITO_KIM[[#This Row],[Valore]],PIANI!A:A,0))</f>
        <v>20</v>
      </c>
    </row>
    <row r="172" spans="1:17" x14ac:dyDescent="0.3">
      <c r="A172" s="42" t="s">
        <v>916</v>
      </c>
      <c r="B172" s="42" t="s">
        <v>917</v>
      </c>
      <c r="C172" s="42" t="s">
        <v>16</v>
      </c>
      <c r="D172">
        <v>24365580</v>
      </c>
      <c r="E172" s="42" t="s">
        <v>918</v>
      </c>
      <c r="F172" s="42" t="s">
        <v>620</v>
      </c>
      <c r="G172">
        <v>20</v>
      </c>
      <c r="H172" s="42" t="s">
        <v>21</v>
      </c>
      <c r="I172">
        <v>8.9499999999999993</v>
      </c>
      <c r="J172" s="42" t="s">
        <v>17</v>
      </c>
      <c r="K172" s="42" t="s">
        <v>17</v>
      </c>
      <c r="L172" s="10">
        <v>45902</v>
      </c>
      <c r="M172" s="42" t="s">
        <v>30</v>
      </c>
      <c r="N172" s="42" t="str">
        <f>+INDEX(COMSY!F:F,MATCH(INSERITO_KIM[[#This Row],[Codice Comsy Tecnico Attuale]],COMSY!E:E,0))</f>
        <v>NASTI TECHNO STORE DI NASTI PIETRO</v>
      </c>
      <c r="O172" s="42" t="str">
        <f>+INDEX(COMSY!G:G,MATCH(INSERITO_KIM[[#This Row],[Codice Comsy Tecnico Attuale]],COMSY!E:E,0))</f>
        <v>Giacomo</v>
      </c>
      <c r="P172" s="42" t="str">
        <f>+INDEX(PIANI!B:B,MATCH(INSERITO_KIM[[#This Row],[Valore]],PIANI!A:A,0))</f>
        <v>MOBILE</v>
      </c>
      <c r="Q172" s="42">
        <f>+INDEX(PIANI!D:D,MATCH(INSERITO_KIM[[#This Row],[Valore]],PIANI!A:A,0))</f>
        <v>20</v>
      </c>
    </row>
    <row r="173" spans="1:17" x14ac:dyDescent="0.3">
      <c r="A173" s="42" t="s">
        <v>919</v>
      </c>
      <c r="B173" s="42" t="s">
        <v>920</v>
      </c>
      <c r="C173" s="42" t="s">
        <v>16</v>
      </c>
      <c r="D173">
        <v>24366057</v>
      </c>
      <c r="E173" s="42" t="s">
        <v>921</v>
      </c>
      <c r="F173" s="42" t="s">
        <v>748</v>
      </c>
      <c r="G173">
        <v>20</v>
      </c>
      <c r="H173" s="42" t="s">
        <v>21</v>
      </c>
      <c r="I173">
        <v>8.9499999999999993</v>
      </c>
      <c r="J173" s="42" t="s">
        <v>17</v>
      </c>
      <c r="K173" s="42" t="s">
        <v>17</v>
      </c>
      <c r="L173" s="10">
        <v>45902</v>
      </c>
      <c r="M173" s="42" t="s">
        <v>30</v>
      </c>
      <c r="N173" s="42" t="str">
        <f>+INDEX(COMSY!F:F,MATCH(INSERITO_KIM[[#This Row],[Codice Comsy Tecnico Attuale]],COMSY!E:E,0))</f>
        <v>SOLUZIONI AMBIENTALI DI GENNARO MARTUSCIELLO</v>
      </c>
      <c r="O173" s="42" t="str">
        <f>+INDEX(COMSY!G:G,MATCH(INSERITO_KIM[[#This Row],[Codice Comsy Tecnico Attuale]],COMSY!E:E,0))</f>
        <v>Armando</v>
      </c>
      <c r="P173" s="42" t="str">
        <f>+INDEX(PIANI!B:B,MATCH(INSERITO_KIM[[#This Row],[Valore]],PIANI!A:A,0))</f>
        <v>MOBILE</v>
      </c>
      <c r="Q173" s="42">
        <f>+INDEX(PIANI!D:D,MATCH(INSERITO_KIM[[#This Row],[Valore]],PIANI!A:A,0))</f>
        <v>20</v>
      </c>
    </row>
    <row r="174" spans="1:17" x14ac:dyDescent="0.3">
      <c r="A174" s="42" t="s">
        <v>1088</v>
      </c>
      <c r="B174" s="42" t="s">
        <v>1089</v>
      </c>
      <c r="C174" s="42" t="s">
        <v>16</v>
      </c>
      <c r="D174">
        <v>24374418</v>
      </c>
      <c r="E174" s="42" t="s">
        <v>1090</v>
      </c>
      <c r="F174" s="42" t="s">
        <v>62</v>
      </c>
      <c r="G174">
        <v>20</v>
      </c>
      <c r="H174" s="42" t="s">
        <v>21</v>
      </c>
      <c r="I174">
        <v>9.9499999999999993</v>
      </c>
      <c r="J174" s="42" t="s">
        <v>17</v>
      </c>
      <c r="K174" s="42" t="s">
        <v>17</v>
      </c>
      <c r="L174" s="10">
        <v>45905</v>
      </c>
      <c r="M174" s="42" t="s">
        <v>30</v>
      </c>
      <c r="N174" s="42" t="str">
        <f>+INDEX(COMSY!F:F,MATCH(INSERITO_KIM[[#This Row],[Codice Comsy Tecnico Attuale]],COMSY!E:E,0))</f>
        <v xml:space="preserve">INFOPOINT DI DEL VECCHIO ROSA E CORTIGIANO CARMELA </v>
      </c>
      <c r="O174" s="42" t="str">
        <f>+INDEX(COMSY!G:G,MATCH(INSERITO_KIM[[#This Row],[Codice Comsy Tecnico Attuale]],COMSY!E:E,0))</f>
        <v>Giacomo</v>
      </c>
      <c r="P174" s="42" t="str">
        <f>+INDEX(PIANI!B:B,MATCH(INSERITO_KIM[[#This Row],[Valore]],PIANI!A:A,0))</f>
        <v>MOBILE</v>
      </c>
      <c r="Q174" s="42">
        <f>+INDEX(PIANI!D:D,MATCH(INSERITO_KIM[[#This Row],[Valore]],PIANI!A:A,0))</f>
        <v>20</v>
      </c>
    </row>
    <row r="175" spans="1:17" x14ac:dyDescent="0.3">
      <c r="A175" s="42" t="s">
        <v>935</v>
      </c>
      <c r="B175" s="42" t="s">
        <v>936</v>
      </c>
      <c r="C175" s="42" t="s">
        <v>16</v>
      </c>
      <c r="D175">
        <v>24366995</v>
      </c>
      <c r="E175" s="42" t="s">
        <v>937</v>
      </c>
      <c r="F175" s="42" t="s">
        <v>71</v>
      </c>
      <c r="G175">
        <v>20</v>
      </c>
      <c r="H175" s="42" t="s">
        <v>700</v>
      </c>
      <c r="I175">
        <v>32.9</v>
      </c>
      <c r="J175" s="42" t="s">
        <v>14</v>
      </c>
      <c r="K175" s="42" t="s">
        <v>877</v>
      </c>
      <c r="L175" s="10">
        <v>45903</v>
      </c>
      <c r="M175" s="42" t="s">
        <v>30</v>
      </c>
      <c r="N175" s="42" t="str">
        <f>+INDEX(COMSY!F:F,MATCH(INSERITO_KIM[[#This Row],[Codice Comsy Tecnico Attuale]],COMSY!E:E,0))</f>
        <v>PUNTOCOM DI BONITO MARIALUIGIA</v>
      </c>
      <c r="O175" s="42" t="str">
        <f>+INDEX(COMSY!G:G,MATCH(INSERITO_KIM[[#This Row],[Codice Comsy Tecnico Attuale]],COMSY!E:E,0))</f>
        <v>Giacomo</v>
      </c>
      <c r="P175" s="42" t="str">
        <f>+INDEX(PIANI!B:B,MATCH(INSERITO_KIM[[#This Row],[Valore]],PIANI!A:A,0))</f>
        <v>MOBILE</v>
      </c>
      <c r="Q175" s="42">
        <f>+INDEX(PIANI!D:D,MATCH(INSERITO_KIM[[#This Row],[Valore]],PIANI!A:A,0))</f>
        <v>20</v>
      </c>
    </row>
    <row r="176" spans="1:17" x14ac:dyDescent="0.3">
      <c r="A176" s="42" t="s">
        <v>1091</v>
      </c>
      <c r="B176" s="42" t="s">
        <v>1092</v>
      </c>
      <c r="C176" s="42" t="s">
        <v>16</v>
      </c>
      <c r="D176">
        <v>24370024</v>
      </c>
      <c r="E176" s="42" t="s">
        <v>1093</v>
      </c>
      <c r="F176" s="42" t="s">
        <v>112</v>
      </c>
      <c r="G176">
        <v>20</v>
      </c>
      <c r="H176" s="42" t="s">
        <v>21</v>
      </c>
      <c r="I176">
        <v>9.9499999999999993</v>
      </c>
      <c r="J176" s="42" t="s">
        <v>17</v>
      </c>
      <c r="K176" s="42" t="s">
        <v>17</v>
      </c>
      <c r="L176" s="10">
        <v>45904</v>
      </c>
      <c r="M176" s="42" t="s">
        <v>30</v>
      </c>
      <c r="N176" s="42" t="str">
        <f>+INDEX(COMSY!F:F,MATCH(INSERITO_KIM[[#This Row],[Codice Comsy Tecnico Attuale]],COMSY!E:E,0))</f>
        <v>CELLULAR PARK DI MAGGIO ANTONIO</v>
      </c>
      <c r="O176" s="42" t="str">
        <f>+INDEX(COMSY!G:G,MATCH(INSERITO_KIM[[#This Row],[Codice Comsy Tecnico Attuale]],COMSY!E:E,0))</f>
        <v>Giacomo</v>
      </c>
      <c r="P176" s="42" t="str">
        <f>+INDEX(PIANI!B:B,MATCH(INSERITO_KIM[[#This Row],[Valore]],PIANI!A:A,0))</f>
        <v>MOBILE</v>
      </c>
      <c r="Q176" s="42">
        <f>+INDEX(PIANI!D:D,MATCH(INSERITO_KIM[[#This Row],[Valore]],PIANI!A:A,0))</f>
        <v>20</v>
      </c>
    </row>
    <row r="177" spans="1:17" x14ac:dyDescent="0.3">
      <c r="A177" s="42" t="s">
        <v>1216</v>
      </c>
      <c r="B177" s="42" t="s">
        <v>1217</v>
      </c>
      <c r="C177" s="42" t="s">
        <v>16</v>
      </c>
      <c r="D177">
        <v>24387134</v>
      </c>
      <c r="E177" s="42" t="s">
        <v>1218</v>
      </c>
      <c r="F177" s="42" t="s">
        <v>208</v>
      </c>
      <c r="G177">
        <v>20</v>
      </c>
      <c r="H177" s="42" t="s">
        <v>700</v>
      </c>
      <c r="I177">
        <v>33.9</v>
      </c>
      <c r="J177" s="42" t="s">
        <v>14</v>
      </c>
      <c r="K177" s="42" t="s">
        <v>780</v>
      </c>
      <c r="L177" s="10">
        <v>45910</v>
      </c>
      <c r="M177" s="42" t="s">
        <v>30</v>
      </c>
      <c r="N177" s="42" t="str">
        <f>+INDEX(COMSY!F:F,MATCH(INSERITO_KIM[[#This Row],[Codice Comsy Tecnico Attuale]],COMSY!E:E,0))</f>
        <v>ELECTROASSIST DI LABIENTE LAZZARO</v>
      </c>
      <c r="O177" s="42" t="str">
        <f>+INDEX(COMSY!G:G,MATCH(INSERITO_KIM[[#This Row],[Codice Comsy Tecnico Attuale]],COMSY!E:E,0))</f>
        <v>Luigi</v>
      </c>
      <c r="P177" s="42" t="str">
        <f>+INDEX(PIANI!B:B,MATCH(INSERITO_KIM[[#This Row],[Valore]],PIANI!A:A,0))</f>
        <v>MOBILE</v>
      </c>
      <c r="Q177" s="42">
        <f>+INDEX(PIANI!D:D,MATCH(INSERITO_KIM[[#This Row],[Valore]],PIANI!A:A,0))</f>
        <v>20</v>
      </c>
    </row>
    <row r="178" spans="1:17" x14ac:dyDescent="0.3">
      <c r="A178" s="42" t="s">
        <v>1286</v>
      </c>
      <c r="B178" s="42" t="s">
        <v>1287</v>
      </c>
      <c r="C178" s="42" t="s">
        <v>16</v>
      </c>
      <c r="D178">
        <v>24387922</v>
      </c>
      <c r="E178" s="42" t="s">
        <v>1288</v>
      </c>
      <c r="F178" s="42" t="s">
        <v>58</v>
      </c>
      <c r="G178">
        <v>20</v>
      </c>
      <c r="H178" s="42" t="s">
        <v>21</v>
      </c>
      <c r="I178">
        <v>9.9499999999999993</v>
      </c>
      <c r="J178" s="42" t="s">
        <v>17</v>
      </c>
      <c r="K178" s="42" t="s">
        <v>17</v>
      </c>
      <c r="L178" s="10">
        <v>45911</v>
      </c>
      <c r="M178" s="42" t="s">
        <v>30</v>
      </c>
      <c r="N178" s="42" t="str">
        <f>+INDEX(COMSY!F:F,MATCH(INSERITO_KIM[[#This Row],[Codice Comsy Tecnico Attuale]],COMSY!E:E,0))</f>
        <v>GALLITELLI ANTONIO</v>
      </c>
      <c r="O178" s="42" t="str">
        <f>+INDEX(COMSY!G:G,MATCH(INSERITO_KIM[[#This Row],[Codice Comsy Tecnico Attuale]],COMSY!E:E,0))</f>
        <v>Giacomo</v>
      </c>
      <c r="P178" s="42" t="str">
        <f>+INDEX(PIANI!B:B,MATCH(INSERITO_KIM[[#This Row],[Valore]],PIANI!A:A,0))</f>
        <v>MOBILE</v>
      </c>
      <c r="Q178" s="42">
        <f>+INDEX(PIANI!D:D,MATCH(INSERITO_KIM[[#This Row],[Valore]],PIANI!A:A,0))</f>
        <v>20</v>
      </c>
    </row>
    <row r="179" spans="1:17" x14ac:dyDescent="0.3">
      <c r="A179" s="42" t="s">
        <v>853</v>
      </c>
      <c r="B179" s="42" t="s">
        <v>854</v>
      </c>
      <c r="C179" s="42" t="s">
        <v>16</v>
      </c>
      <c r="D179">
        <v>24362226</v>
      </c>
      <c r="E179" s="42" t="s">
        <v>855</v>
      </c>
      <c r="F179" s="42" t="s">
        <v>633</v>
      </c>
      <c r="G179">
        <v>20</v>
      </c>
      <c r="H179" s="42" t="s">
        <v>21</v>
      </c>
      <c r="I179">
        <v>8.9499999999999993</v>
      </c>
      <c r="J179" s="42" t="s">
        <v>17</v>
      </c>
      <c r="K179" s="42" t="s">
        <v>17</v>
      </c>
      <c r="L179" s="10">
        <v>45901</v>
      </c>
      <c r="M179" s="42" t="s">
        <v>30</v>
      </c>
      <c r="N179" s="42" t="str">
        <f>+INDEX(COMSY!F:F,MATCH(INSERITO_KIM[[#This Row],[Codice Comsy Tecnico Attuale]],COMSY!E:E,0))</f>
        <v>RISOLTO LAB MONOPOLI</v>
      </c>
      <c r="O179" s="42" t="str">
        <f>+INDEX(COMSY!G:G,MATCH(INSERITO_KIM[[#This Row],[Codice Comsy Tecnico Attuale]],COMSY!E:E,0))</f>
        <v>Giacomo</v>
      </c>
      <c r="P179" s="42" t="str">
        <f>+INDEX(PIANI!B:B,MATCH(INSERITO_KIM[[#This Row],[Valore]],PIANI!A:A,0))</f>
        <v>MOBILE</v>
      </c>
      <c r="Q179" s="42">
        <f>+INDEX(PIANI!D:D,MATCH(INSERITO_KIM[[#This Row],[Valore]],PIANI!A:A,0))</f>
        <v>20</v>
      </c>
    </row>
    <row r="180" spans="1:17" x14ac:dyDescent="0.3">
      <c r="A180" s="42" t="s">
        <v>1289</v>
      </c>
      <c r="B180" s="42" t="s">
        <v>1290</v>
      </c>
      <c r="C180" s="42" t="s">
        <v>16</v>
      </c>
      <c r="D180">
        <v>24389607</v>
      </c>
      <c r="E180" s="42" t="s">
        <v>1291</v>
      </c>
      <c r="F180" s="42" t="s">
        <v>73</v>
      </c>
      <c r="G180">
        <v>20</v>
      </c>
      <c r="H180" s="42" t="s">
        <v>21</v>
      </c>
      <c r="I180">
        <v>9.9499999999999993</v>
      </c>
      <c r="J180" s="42" t="s">
        <v>17</v>
      </c>
      <c r="K180" s="42" t="s">
        <v>17</v>
      </c>
      <c r="L180" s="10">
        <v>45911</v>
      </c>
      <c r="M180" s="42" t="s">
        <v>30</v>
      </c>
      <c r="N180" s="42" t="str">
        <f>+INDEX(COMSY!F:F,MATCH(INSERITO_KIM[[#This Row],[Codice Comsy Tecnico Attuale]],COMSY!E:E,0))</f>
        <v>NICK TEL DI NICOLA MASTROCRISTINO</v>
      </c>
      <c r="O180" s="42" t="str">
        <f>+INDEX(COMSY!G:G,MATCH(INSERITO_KIM[[#This Row],[Codice Comsy Tecnico Attuale]],COMSY!E:E,0))</f>
        <v>Giacomo</v>
      </c>
      <c r="P180" s="42" t="str">
        <f>+INDEX(PIANI!B:B,MATCH(INSERITO_KIM[[#This Row],[Valore]],PIANI!A:A,0))</f>
        <v>MOBILE</v>
      </c>
      <c r="Q180" s="42">
        <f>+INDEX(PIANI!D:D,MATCH(INSERITO_KIM[[#This Row],[Valore]],PIANI!A:A,0))</f>
        <v>20</v>
      </c>
    </row>
    <row r="181" spans="1:17" x14ac:dyDescent="0.3">
      <c r="A181" s="42" t="s">
        <v>919</v>
      </c>
      <c r="B181" s="42" t="s">
        <v>920</v>
      </c>
      <c r="C181" s="42" t="s">
        <v>16</v>
      </c>
      <c r="D181">
        <v>24366017</v>
      </c>
      <c r="E181" s="42" t="s">
        <v>922</v>
      </c>
      <c r="F181" s="42" t="s">
        <v>748</v>
      </c>
      <c r="G181">
        <v>20</v>
      </c>
      <c r="H181" s="42" t="s">
        <v>21</v>
      </c>
      <c r="I181">
        <v>8.9499999999999993</v>
      </c>
      <c r="J181" s="42" t="s">
        <v>17</v>
      </c>
      <c r="K181" s="42" t="s">
        <v>17</v>
      </c>
      <c r="L181" s="10">
        <v>45902</v>
      </c>
      <c r="M181" s="42" t="s">
        <v>30</v>
      </c>
      <c r="N181" s="42" t="str">
        <f>+INDEX(COMSY!F:F,MATCH(INSERITO_KIM[[#This Row],[Codice Comsy Tecnico Attuale]],COMSY!E:E,0))</f>
        <v>SOLUZIONI AMBIENTALI DI GENNARO MARTUSCIELLO</v>
      </c>
      <c r="O181" s="42" t="str">
        <f>+INDEX(COMSY!G:G,MATCH(INSERITO_KIM[[#This Row],[Codice Comsy Tecnico Attuale]],COMSY!E:E,0))</f>
        <v>Armando</v>
      </c>
      <c r="P181" s="42" t="str">
        <f>+INDEX(PIANI!B:B,MATCH(INSERITO_KIM[[#This Row],[Valore]],PIANI!A:A,0))</f>
        <v>MOBILE</v>
      </c>
      <c r="Q181" s="42">
        <f>+INDEX(PIANI!D:D,MATCH(INSERITO_KIM[[#This Row],[Valore]],PIANI!A:A,0))</f>
        <v>20</v>
      </c>
    </row>
    <row r="182" spans="1:17" x14ac:dyDescent="0.3">
      <c r="A182" s="42" t="s">
        <v>1011</v>
      </c>
      <c r="B182" s="42" t="s">
        <v>1012</v>
      </c>
      <c r="C182" s="42" t="s">
        <v>16</v>
      </c>
      <c r="D182">
        <v>24374600</v>
      </c>
      <c r="E182" s="42" t="s">
        <v>1013</v>
      </c>
      <c r="F182" s="42" t="s">
        <v>751</v>
      </c>
      <c r="G182">
        <v>20</v>
      </c>
      <c r="H182" s="42" t="s">
        <v>700</v>
      </c>
      <c r="I182">
        <v>33.9</v>
      </c>
      <c r="J182" s="42" t="s">
        <v>14</v>
      </c>
      <c r="K182" s="42" t="s">
        <v>877</v>
      </c>
      <c r="L182" s="10">
        <v>45905</v>
      </c>
      <c r="M182" s="42" t="s">
        <v>30</v>
      </c>
      <c r="N182" s="42" t="str">
        <f>+INDEX(COMSY!F:F,MATCH(INSERITO_KIM[[#This Row],[Codice Comsy Tecnico Attuale]],COMSY!E:E,0))</f>
        <v>S.I.P.R.A. ITALIA SAS DI LASALVIA M. &amp; MONTERISI G.</v>
      </c>
      <c r="O182" s="42" t="str">
        <f>+INDEX(COMSY!G:G,MATCH(INSERITO_KIM[[#This Row],[Codice Comsy Tecnico Attuale]],COMSY!E:E,0))</f>
        <v>Luigi</v>
      </c>
      <c r="P182" s="42" t="str">
        <f>+INDEX(PIANI!B:B,MATCH(INSERITO_KIM[[#This Row],[Valore]],PIANI!A:A,0))</f>
        <v>MOBILE</v>
      </c>
      <c r="Q182" s="42">
        <f>+INDEX(PIANI!D:D,MATCH(INSERITO_KIM[[#This Row],[Valore]],PIANI!A:A,0))</f>
        <v>20</v>
      </c>
    </row>
    <row r="183" spans="1:17" x14ac:dyDescent="0.3">
      <c r="A183" s="42" t="s">
        <v>1094</v>
      </c>
      <c r="B183" s="42" t="s">
        <v>1095</v>
      </c>
      <c r="C183" s="42" t="s">
        <v>16</v>
      </c>
      <c r="D183">
        <v>24372824</v>
      </c>
      <c r="E183" s="42" t="s">
        <v>1096</v>
      </c>
      <c r="F183" s="42" t="s">
        <v>50</v>
      </c>
      <c r="G183">
        <v>1100</v>
      </c>
      <c r="H183" s="42" t="s">
        <v>21</v>
      </c>
      <c r="I183">
        <v>9.9499999999999993</v>
      </c>
      <c r="J183" s="42" t="s">
        <v>17</v>
      </c>
      <c r="K183" s="42" t="s">
        <v>17</v>
      </c>
      <c r="L183" s="10">
        <v>45905</v>
      </c>
      <c r="M183" s="42" t="s">
        <v>30</v>
      </c>
      <c r="N183" s="42" t="str">
        <f>+INDEX(COMSY!F:F,MATCH(INSERITO_KIM[[#This Row],[Codice Comsy Tecnico Attuale]],COMSY!E:E,0))</f>
        <v>KIM</v>
      </c>
      <c r="O183" s="42" t="str">
        <f>+INDEX(COMSY!G:G,MATCH(INSERITO_KIM[[#This Row],[Codice Comsy Tecnico Attuale]],COMSY!E:E,0))</f>
        <v>KIM</v>
      </c>
      <c r="P183" s="42" t="str">
        <f>+INDEX(PIANI!B:B,MATCH(INSERITO_KIM[[#This Row],[Valore]],PIANI!A:A,0))</f>
        <v>MOBILE</v>
      </c>
      <c r="Q183" s="42">
        <f>+INDEX(PIANI!D:D,MATCH(INSERITO_KIM[[#This Row],[Valore]],PIANI!A:A,0))</f>
        <v>20</v>
      </c>
    </row>
    <row r="184" spans="1:17" x14ac:dyDescent="0.3">
      <c r="A184" s="42" t="s">
        <v>1014</v>
      </c>
      <c r="B184" s="42" t="s">
        <v>1015</v>
      </c>
      <c r="C184" s="42" t="s">
        <v>16</v>
      </c>
      <c r="D184">
        <v>24375304</v>
      </c>
      <c r="E184" s="42" t="s">
        <v>1016</v>
      </c>
      <c r="F184" s="42" t="s">
        <v>114</v>
      </c>
      <c r="G184">
        <v>20</v>
      </c>
      <c r="H184" s="42" t="s">
        <v>700</v>
      </c>
      <c r="I184">
        <v>33.9</v>
      </c>
      <c r="J184" s="42" t="s">
        <v>17</v>
      </c>
      <c r="K184" s="42" t="s">
        <v>17</v>
      </c>
      <c r="L184" s="10">
        <v>45906</v>
      </c>
      <c r="M184" s="42" t="s">
        <v>30</v>
      </c>
      <c r="N184" s="42" t="str">
        <f>+INDEX(COMSY!F:F,MATCH(INSERITO_KIM[[#This Row],[Codice Comsy Tecnico Attuale]],COMSY!E:E,0))</f>
        <v>MILILLO GIUSEPPE</v>
      </c>
      <c r="O184" s="42" t="str">
        <f>+INDEX(COMSY!G:G,MATCH(INSERITO_KIM[[#This Row],[Codice Comsy Tecnico Attuale]],COMSY!E:E,0))</f>
        <v>Giacomo</v>
      </c>
      <c r="P184" s="42" t="str">
        <f>+INDEX(PIANI!B:B,MATCH(INSERITO_KIM[[#This Row],[Valore]],PIANI!A:A,0))</f>
        <v>MOBILE</v>
      </c>
      <c r="Q184" s="42">
        <f>+INDEX(PIANI!D:D,MATCH(INSERITO_KIM[[#This Row],[Valore]],PIANI!A:A,0))</f>
        <v>20</v>
      </c>
    </row>
    <row r="185" spans="1:17" x14ac:dyDescent="0.3">
      <c r="A185" s="42" t="s">
        <v>1182</v>
      </c>
      <c r="B185" s="42" t="s">
        <v>1183</v>
      </c>
      <c r="C185" s="42" t="s">
        <v>16</v>
      </c>
      <c r="D185">
        <v>24383068</v>
      </c>
      <c r="E185" s="42" t="s">
        <v>1184</v>
      </c>
      <c r="F185" s="42" t="s">
        <v>114</v>
      </c>
      <c r="G185">
        <v>20</v>
      </c>
      <c r="H185" s="42" t="s">
        <v>700</v>
      </c>
      <c r="I185">
        <v>33.9</v>
      </c>
      <c r="J185" s="42" t="s">
        <v>14</v>
      </c>
      <c r="K185" s="42" t="s">
        <v>877</v>
      </c>
      <c r="L185" s="10">
        <v>45909</v>
      </c>
      <c r="M185" s="42" t="s">
        <v>30</v>
      </c>
      <c r="N185" s="42" t="str">
        <f>+INDEX(COMSY!F:F,MATCH(INSERITO_KIM[[#This Row],[Codice Comsy Tecnico Attuale]],COMSY!E:E,0))</f>
        <v>MILILLO GIUSEPPE</v>
      </c>
      <c r="O185" s="42" t="str">
        <f>+INDEX(COMSY!G:G,MATCH(INSERITO_KIM[[#This Row],[Codice Comsy Tecnico Attuale]],COMSY!E:E,0))</f>
        <v>Giacomo</v>
      </c>
      <c r="P185" s="42" t="str">
        <f>+INDEX(PIANI!B:B,MATCH(INSERITO_KIM[[#This Row],[Valore]],PIANI!A:A,0))</f>
        <v>MOBILE</v>
      </c>
      <c r="Q185" s="42">
        <f>+INDEX(PIANI!D:D,MATCH(INSERITO_KIM[[#This Row],[Valore]],PIANI!A:A,0))</f>
        <v>20</v>
      </c>
    </row>
    <row r="186" spans="1:17" x14ac:dyDescent="0.3">
      <c r="A186" s="42" t="s">
        <v>1097</v>
      </c>
      <c r="B186" s="42" t="s">
        <v>1098</v>
      </c>
      <c r="C186" s="42" t="s">
        <v>16</v>
      </c>
      <c r="D186">
        <v>24372290</v>
      </c>
      <c r="E186" s="42" t="s">
        <v>1099</v>
      </c>
      <c r="F186" s="42" t="s">
        <v>64</v>
      </c>
      <c r="G186">
        <v>20</v>
      </c>
      <c r="H186" s="42" t="s">
        <v>21</v>
      </c>
      <c r="I186">
        <v>9.9499999999999993</v>
      </c>
      <c r="J186" s="42" t="s">
        <v>17</v>
      </c>
      <c r="K186" s="42" t="s">
        <v>17</v>
      </c>
      <c r="L186" s="10">
        <v>45904</v>
      </c>
      <c r="M186" s="42" t="s">
        <v>30</v>
      </c>
      <c r="N186" s="42" t="str">
        <f>+INDEX(COMSY!F:F,MATCH(INSERITO_KIM[[#This Row],[Codice Comsy Tecnico Attuale]],COMSY!E:E,0))</f>
        <v>MEDIA CENTER DI LUCA BARBERIO</v>
      </c>
      <c r="O186" s="42" t="str">
        <f>+INDEX(COMSY!G:G,MATCH(INSERITO_KIM[[#This Row],[Codice Comsy Tecnico Attuale]],COMSY!E:E,0))</f>
        <v>Giacomo</v>
      </c>
      <c r="P186" s="42" t="str">
        <f>+INDEX(PIANI!B:B,MATCH(INSERITO_KIM[[#This Row],[Valore]],PIANI!A:A,0))</f>
        <v>MOBILE</v>
      </c>
      <c r="Q186" s="42">
        <f>+INDEX(PIANI!D:D,MATCH(INSERITO_KIM[[#This Row],[Valore]],PIANI!A:A,0))</f>
        <v>20</v>
      </c>
    </row>
    <row r="187" spans="1:17" x14ac:dyDescent="0.3">
      <c r="A187" s="42" t="s">
        <v>1167</v>
      </c>
      <c r="B187" s="42" t="s">
        <v>1168</v>
      </c>
      <c r="C187" s="42" t="s">
        <v>16</v>
      </c>
      <c r="D187">
        <v>24379168</v>
      </c>
      <c r="E187" s="42" t="s">
        <v>1169</v>
      </c>
      <c r="F187" s="42" t="s">
        <v>64</v>
      </c>
      <c r="G187">
        <v>20</v>
      </c>
      <c r="H187" s="42" t="s">
        <v>21</v>
      </c>
      <c r="I187">
        <v>9.9499999999999993</v>
      </c>
      <c r="J187" s="42" t="s">
        <v>17</v>
      </c>
      <c r="K187" s="42" t="s">
        <v>17</v>
      </c>
      <c r="L187" s="10">
        <v>45908</v>
      </c>
      <c r="M187" s="42" t="s">
        <v>30</v>
      </c>
      <c r="N187" s="42" t="str">
        <f>+INDEX(COMSY!F:F,MATCH(INSERITO_KIM[[#This Row],[Codice Comsy Tecnico Attuale]],COMSY!E:E,0))</f>
        <v>MEDIA CENTER DI LUCA BARBERIO</v>
      </c>
      <c r="O187" s="42" t="str">
        <f>+INDEX(COMSY!G:G,MATCH(INSERITO_KIM[[#This Row],[Codice Comsy Tecnico Attuale]],COMSY!E:E,0))</f>
        <v>Giacomo</v>
      </c>
      <c r="P187" s="42" t="str">
        <f>+INDEX(PIANI!B:B,MATCH(INSERITO_KIM[[#This Row],[Valore]],PIANI!A:A,0))</f>
        <v>MOBILE</v>
      </c>
      <c r="Q187" s="42">
        <f>+INDEX(PIANI!D:D,MATCH(INSERITO_KIM[[#This Row],[Valore]],PIANI!A:A,0))</f>
        <v>20</v>
      </c>
    </row>
    <row r="188" spans="1:17" x14ac:dyDescent="0.3">
      <c r="A188" s="42" t="s">
        <v>974</v>
      </c>
      <c r="B188" s="42" t="s">
        <v>975</v>
      </c>
      <c r="C188" s="42" t="s">
        <v>16</v>
      </c>
      <c r="D188">
        <v>24367690</v>
      </c>
      <c r="E188" s="42" t="s">
        <v>976</v>
      </c>
      <c r="F188" s="42" t="s">
        <v>98</v>
      </c>
      <c r="G188">
        <v>20</v>
      </c>
      <c r="H188" s="42" t="s">
        <v>21</v>
      </c>
      <c r="I188">
        <v>8.9499999999999993</v>
      </c>
      <c r="J188" s="42" t="s">
        <v>17</v>
      </c>
      <c r="K188" s="42" t="s">
        <v>17</v>
      </c>
      <c r="L188" s="10">
        <v>45903</v>
      </c>
      <c r="M188" s="42" t="s">
        <v>30</v>
      </c>
      <c r="N188" s="42" t="str">
        <f>+INDEX(COMSY!F:F,MATCH(INSERITO_KIM[[#This Row],[Codice Comsy Tecnico Attuale]],COMSY!E:E,0))</f>
        <v>BECLARI ELECTRONICS</v>
      </c>
      <c r="O188" s="42" t="str">
        <f>+INDEX(COMSY!G:G,MATCH(INSERITO_KIM[[#This Row],[Codice Comsy Tecnico Attuale]],COMSY!E:E,0))</f>
        <v>Giacomo</v>
      </c>
      <c r="P188" s="42" t="str">
        <f>+INDEX(PIANI!B:B,MATCH(INSERITO_KIM[[#This Row],[Valore]],PIANI!A:A,0))</f>
        <v>MOBILE</v>
      </c>
      <c r="Q188" s="42">
        <f>+INDEX(PIANI!D:D,MATCH(INSERITO_KIM[[#This Row],[Valore]],PIANI!A:A,0))</f>
        <v>20</v>
      </c>
    </row>
    <row r="189" spans="1:17" x14ac:dyDescent="0.3">
      <c r="A189" s="42" t="s">
        <v>923</v>
      </c>
      <c r="B189" s="42" t="s">
        <v>924</v>
      </c>
      <c r="C189" s="42" t="s">
        <v>16</v>
      </c>
      <c r="D189">
        <v>24363098</v>
      </c>
      <c r="E189" s="42" t="s">
        <v>925</v>
      </c>
      <c r="F189" s="42" t="s">
        <v>62</v>
      </c>
      <c r="G189">
        <v>20</v>
      </c>
      <c r="H189" s="42" t="s">
        <v>21</v>
      </c>
      <c r="I189">
        <v>8.9499999999999993</v>
      </c>
      <c r="J189" s="42" t="s">
        <v>17</v>
      </c>
      <c r="K189" s="42" t="s">
        <v>17</v>
      </c>
      <c r="L189" s="10">
        <v>45902</v>
      </c>
      <c r="M189" s="42" t="s">
        <v>30</v>
      </c>
      <c r="N189" s="42" t="str">
        <f>+INDEX(COMSY!F:F,MATCH(INSERITO_KIM[[#This Row],[Codice Comsy Tecnico Attuale]],COMSY!E:E,0))</f>
        <v xml:space="preserve">INFOPOINT DI DEL VECCHIO ROSA E CORTIGIANO CARMELA </v>
      </c>
      <c r="O189" s="42" t="str">
        <f>+INDEX(COMSY!G:G,MATCH(INSERITO_KIM[[#This Row],[Codice Comsy Tecnico Attuale]],COMSY!E:E,0))</f>
        <v>Giacomo</v>
      </c>
      <c r="P189" s="42" t="str">
        <f>+INDEX(PIANI!B:B,MATCH(INSERITO_KIM[[#This Row],[Valore]],PIANI!A:A,0))</f>
        <v>MOBILE</v>
      </c>
      <c r="Q189" s="42">
        <f>+INDEX(PIANI!D:D,MATCH(INSERITO_KIM[[#This Row],[Valore]],PIANI!A:A,0))</f>
        <v>20</v>
      </c>
    </row>
    <row r="190" spans="1:17" x14ac:dyDescent="0.3">
      <c r="A190" s="42" t="s">
        <v>1343</v>
      </c>
      <c r="B190" s="42" t="s">
        <v>1344</v>
      </c>
      <c r="C190" s="42" t="s">
        <v>16</v>
      </c>
      <c r="D190">
        <v>24391072</v>
      </c>
      <c r="E190" s="42" t="s">
        <v>1345</v>
      </c>
      <c r="F190" s="42" t="s">
        <v>62</v>
      </c>
      <c r="G190">
        <v>20</v>
      </c>
      <c r="H190" s="42" t="s">
        <v>21</v>
      </c>
      <c r="I190">
        <v>9.9499999999999993</v>
      </c>
      <c r="J190" s="42" t="s">
        <v>14</v>
      </c>
      <c r="K190" s="42" t="s">
        <v>23</v>
      </c>
      <c r="L190" s="10">
        <v>45912</v>
      </c>
      <c r="M190" s="42" t="s">
        <v>30</v>
      </c>
      <c r="N190" s="42" t="str">
        <f>+INDEX(COMSY!F:F,MATCH(INSERITO_KIM[[#This Row],[Codice Comsy Tecnico Attuale]],COMSY!E:E,0))</f>
        <v xml:space="preserve">INFOPOINT DI DEL VECCHIO ROSA E CORTIGIANO CARMELA </v>
      </c>
      <c r="O190" s="42" t="str">
        <f>+INDEX(COMSY!G:G,MATCH(INSERITO_KIM[[#This Row],[Codice Comsy Tecnico Attuale]],COMSY!E:E,0))</f>
        <v>Giacomo</v>
      </c>
      <c r="P190" s="42" t="str">
        <f>+INDEX(PIANI!B:B,MATCH(INSERITO_KIM[[#This Row],[Valore]],PIANI!A:A,0))</f>
        <v>MOBILE</v>
      </c>
      <c r="Q190" s="42">
        <f>+INDEX(PIANI!D:D,MATCH(INSERITO_KIM[[#This Row],[Valore]],PIANI!A:A,0))</f>
        <v>20</v>
      </c>
    </row>
    <row r="191" spans="1:17" x14ac:dyDescent="0.3">
      <c r="A191" s="42" t="s">
        <v>1100</v>
      </c>
      <c r="B191" s="42" t="s">
        <v>1101</v>
      </c>
      <c r="C191" s="42" t="s">
        <v>16</v>
      </c>
      <c r="D191">
        <v>24373090</v>
      </c>
      <c r="E191" s="42" t="s">
        <v>1102</v>
      </c>
      <c r="F191" s="42" t="s">
        <v>69</v>
      </c>
      <c r="G191">
        <v>20</v>
      </c>
      <c r="H191" s="42" t="s">
        <v>21</v>
      </c>
      <c r="I191">
        <v>9.9499999999999993</v>
      </c>
      <c r="J191" s="42" t="s">
        <v>17</v>
      </c>
      <c r="K191" s="42" t="s">
        <v>17</v>
      </c>
      <c r="L191" s="10">
        <v>45905</v>
      </c>
      <c r="M191" s="42" t="s">
        <v>30</v>
      </c>
      <c r="N191" s="42" t="str">
        <f>+INDEX(COMSY!F:F,MATCH(INSERITO_KIM[[#This Row],[Codice Comsy Tecnico Attuale]],COMSY!E:E,0))</f>
        <v>DEBATECH DI DE PIANO DINA</v>
      </c>
      <c r="O191" s="42" t="str">
        <f>+INDEX(COMSY!G:G,MATCH(INSERITO_KIM[[#This Row],[Codice Comsy Tecnico Attuale]],COMSY!E:E,0))</f>
        <v>Giacomo</v>
      </c>
      <c r="P191" s="42" t="str">
        <f>+INDEX(PIANI!B:B,MATCH(INSERITO_KIM[[#This Row],[Valore]],PIANI!A:A,0))</f>
        <v>MOBILE</v>
      </c>
      <c r="Q191" s="42">
        <f>+INDEX(PIANI!D:D,MATCH(INSERITO_KIM[[#This Row],[Valore]],PIANI!A:A,0))</f>
        <v>20</v>
      </c>
    </row>
    <row r="192" spans="1:17" x14ac:dyDescent="0.3">
      <c r="A192" s="42" t="s">
        <v>1292</v>
      </c>
      <c r="B192" s="42" t="s">
        <v>1293</v>
      </c>
      <c r="C192" s="42" t="s">
        <v>16</v>
      </c>
      <c r="D192">
        <v>24387564</v>
      </c>
      <c r="E192" s="42" t="s">
        <v>1294</v>
      </c>
      <c r="F192" s="42" t="s">
        <v>69</v>
      </c>
      <c r="G192">
        <v>20</v>
      </c>
      <c r="H192" s="42" t="s">
        <v>21</v>
      </c>
      <c r="I192">
        <v>9.9499999999999993</v>
      </c>
      <c r="J192" s="42" t="s">
        <v>14</v>
      </c>
      <c r="K192" s="42" t="s">
        <v>23</v>
      </c>
      <c r="L192" s="10">
        <v>45911</v>
      </c>
      <c r="M192" s="42" t="s">
        <v>30</v>
      </c>
      <c r="N192" s="42" t="str">
        <f>+INDEX(COMSY!F:F,MATCH(INSERITO_KIM[[#This Row],[Codice Comsy Tecnico Attuale]],COMSY!E:E,0))</f>
        <v>DEBATECH DI DE PIANO DINA</v>
      </c>
      <c r="O192" s="42" t="str">
        <f>+INDEX(COMSY!G:G,MATCH(INSERITO_KIM[[#This Row],[Codice Comsy Tecnico Attuale]],COMSY!E:E,0))</f>
        <v>Giacomo</v>
      </c>
      <c r="P192" s="42" t="str">
        <f>+INDEX(PIANI!B:B,MATCH(INSERITO_KIM[[#This Row],[Valore]],PIANI!A:A,0))</f>
        <v>MOBILE</v>
      </c>
      <c r="Q192" s="42">
        <f>+INDEX(PIANI!D:D,MATCH(INSERITO_KIM[[#This Row],[Valore]],PIANI!A:A,0))</f>
        <v>20</v>
      </c>
    </row>
    <row r="193" spans="1:17" x14ac:dyDescent="0.3">
      <c r="A193" s="42" t="s">
        <v>938</v>
      </c>
      <c r="B193" s="42" t="s">
        <v>939</v>
      </c>
      <c r="C193" s="42" t="s">
        <v>16</v>
      </c>
      <c r="D193">
        <v>24369256</v>
      </c>
      <c r="E193" s="42" t="s">
        <v>940</v>
      </c>
      <c r="F193" s="42" t="s">
        <v>345</v>
      </c>
      <c r="G193">
        <v>20</v>
      </c>
      <c r="H193" s="42" t="s">
        <v>700</v>
      </c>
      <c r="I193">
        <v>32.9</v>
      </c>
      <c r="J193" s="42" t="s">
        <v>17</v>
      </c>
      <c r="K193" s="42" t="s">
        <v>17</v>
      </c>
      <c r="L193" s="10">
        <v>45903</v>
      </c>
      <c r="M193" s="42" t="s">
        <v>30</v>
      </c>
      <c r="N193" s="42" t="str">
        <f>+INDEX(COMSY!F:F,MATCH(INSERITO_KIM[[#This Row],[Codice Comsy Tecnico Attuale]],COMSY!E:E,0))</f>
        <v>BARBERINI</v>
      </c>
      <c r="O193" s="42" t="str">
        <f>+INDEX(COMSY!G:G,MATCH(INSERITO_KIM[[#This Row],[Codice Comsy Tecnico Attuale]],COMSY!E:E,0))</f>
        <v>Giacomo</v>
      </c>
      <c r="P193" s="42" t="str">
        <f>+INDEX(PIANI!B:B,MATCH(INSERITO_KIM[[#This Row],[Valore]],PIANI!A:A,0))</f>
        <v>MOBILE</v>
      </c>
      <c r="Q193" s="42">
        <f>+INDEX(PIANI!D:D,MATCH(INSERITO_KIM[[#This Row],[Valore]],PIANI!A:A,0))</f>
        <v>20</v>
      </c>
    </row>
    <row r="194" spans="1:17" x14ac:dyDescent="0.3">
      <c r="A194" s="42" t="s">
        <v>1240</v>
      </c>
      <c r="B194" s="42" t="s">
        <v>1241</v>
      </c>
      <c r="C194" s="42" t="s">
        <v>16</v>
      </c>
      <c r="D194">
        <v>24387275</v>
      </c>
      <c r="E194" s="42" t="s">
        <v>1242</v>
      </c>
      <c r="F194" s="42" t="s">
        <v>113</v>
      </c>
      <c r="G194">
        <v>20</v>
      </c>
      <c r="H194" s="42" t="s">
        <v>21</v>
      </c>
      <c r="I194">
        <v>9.9499999999999993</v>
      </c>
      <c r="J194" s="42" t="s">
        <v>14</v>
      </c>
      <c r="K194" s="42" t="s">
        <v>23</v>
      </c>
      <c r="L194" s="10">
        <v>45910</v>
      </c>
      <c r="M194" s="42" t="s">
        <v>30</v>
      </c>
      <c r="N194" s="42" t="str">
        <f>+INDEX(COMSY!F:F,MATCH(INSERITO_KIM[[#This Row],[Codice Comsy Tecnico Attuale]],COMSY!E:E,0))</f>
        <v>ELEKTRO-DO DOMENICO LOBASCIO</v>
      </c>
      <c r="O194" s="42" t="str">
        <f>+INDEX(COMSY!G:G,MATCH(INSERITO_KIM[[#This Row],[Codice Comsy Tecnico Attuale]],COMSY!E:E,0))</f>
        <v>Giacomo</v>
      </c>
      <c r="P194" s="42" t="str">
        <f>+INDEX(PIANI!B:B,MATCH(INSERITO_KIM[[#This Row],[Valore]],PIANI!A:A,0))</f>
        <v>MOBILE</v>
      </c>
      <c r="Q194" s="42">
        <f>+INDEX(PIANI!D:D,MATCH(INSERITO_KIM[[#This Row],[Valore]],PIANI!A:A,0))</f>
        <v>20</v>
      </c>
    </row>
    <row r="195" spans="1:17" x14ac:dyDescent="0.3">
      <c r="A195" s="42" t="s">
        <v>1201</v>
      </c>
      <c r="B195" s="42" t="s">
        <v>1202</v>
      </c>
      <c r="C195" s="42" t="s">
        <v>16</v>
      </c>
      <c r="D195">
        <v>24383445</v>
      </c>
      <c r="E195" s="42" t="s">
        <v>1203</v>
      </c>
      <c r="F195" s="42" t="s">
        <v>482</v>
      </c>
      <c r="G195">
        <v>20</v>
      </c>
      <c r="H195" s="42" t="s">
        <v>700</v>
      </c>
      <c r="I195">
        <v>35.9</v>
      </c>
      <c r="J195" s="42" t="s">
        <v>14</v>
      </c>
      <c r="K195" s="42" t="s">
        <v>877</v>
      </c>
      <c r="L195" s="10">
        <v>45909</v>
      </c>
      <c r="M195" s="42" t="s">
        <v>30</v>
      </c>
      <c r="N195" s="42" t="str">
        <f>+INDEX(COMSY!F:F,MATCH(INSERITO_KIM[[#This Row],[Codice Comsy Tecnico Attuale]],COMSY!E:E,0))</f>
        <v>PC WORLD</v>
      </c>
      <c r="O195" s="42" t="str">
        <f>+INDEX(COMSY!G:G,MATCH(INSERITO_KIM[[#This Row],[Codice Comsy Tecnico Attuale]],COMSY!E:E,0))</f>
        <v>Giacomo</v>
      </c>
      <c r="P195" s="42" t="str">
        <f>+INDEX(PIANI!B:B,MATCH(INSERITO_KIM[[#This Row],[Valore]],PIANI!A:A,0))</f>
        <v>MOBILE</v>
      </c>
      <c r="Q195" s="42">
        <f>+INDEX(PIANI!D:D,MATCH(INSERITO_KIM[[#This Row],[Valore]],PIANI!A:A,0))</f>
        <v>20</v>
      </c>
    </row>
    <row r="196" spans="1:17" x14ac:dyDescent="0.3">
      <c r="A196" s="42" t="s">
        <v>1103</v>
      </c>
      <c r="B196" s="42" t="s">
        <v>1104</v>
      </c>
      <c r="C196" s="42" t="s">
        <v>16</v>
      </c>
      <c r="D196">
        <v>24374239</v>
      </c>
      <c r="E196" s="42" t="s">
        <v>1105</v>
      </c>
      <c r="F196" s="42" t="s">
        <v>391</v>
      </c>
      <c r="G196">
        <v>20</v>
      </c>
      <c r="H196" s="42" t="s">
        <v>21</v>
      </c>
      <c r="I196">
        <v>9.9499999999999993</v>
      </c>
      <c r="J196" s="42" t="s">
        <v>17</v>
      </c>
      <c r="K196" s="42" t="s">
        <v>17</v>
      </c>
      <c r="L196" s="10">
        <v>45905</v>
      </c>
      <c r="M196" s="42" t="s">
        <v>30</v>
      </c>
      <c r="N196" s="42" t="str">
        <f>+INDEX(COMSY!F:F,MATCH(INSERITO_KIM[[#This Row],[Codice Comsy Tecnico Attuale]],COMSY!E:E,0))</f>
        <v>MIKE'S PHONE DI TETRO MICHELE</v>
      </c>
      <c r="O196" s="42" t="str">
        <f>+INDEX(COMSY!G:G,MATCH(INSERITO_KIM[[#This Row],[Codice Comsy Tecnico Attuale]],COMSY!E:E,0))</f>
        <v>Giacomo</v>
      </c>
      <c r="P196" s="42" t="str">
        <f>+INDEX(PIANI!B:B,MATCH(INSERITO_KIM[[#This Row],[Valore]],PIANI!A:A,0))</f>
        <v>MOBILE</v>
      </c>
      <c r="Q196" s="42">
        <f>+INDEX(PIANI!D:D,MATCH(INSERITO_KIM[[#This Row],[Valore]],PIANI!A:A,0))</f>
        <v>20</v>
      </c>
    </row>
    <row r="197" spans="1:17" x14ac:dyDescent="0.3">
      <c r="A197" s="42" t="s">
        <v>1106</v>
      </c>
      <c r="B197" s="42" t="s">
        <v>1107</v>
      </c>
      <c r="C197" s="42" t="s">
        <v>16</v>
      </c>
      <c r="D197">
        <v>24371891</v>
      </c>
      <c r="E197" s="42" t="s">
        <v>1108</v>
      </c>
      <c r="F197" s="42" t="s">
        <v>82</v>
      </c>
      <c r="G197">
        <v>20</v>
      </c>
      <c r="H197" s="42" t="s">
        <v>21</v>
      </c>
      <c r="I197">
        <v>9.9499999999999993</v>
      </c>
      <c r="J197" s="42" t="s">
        <v>17</v>
      </c>
      <c r="K197" s="42" t="s">
        <v>17</v>
      </c>
      <c r="L197" s="10">
        <v>45904</v>
      </c>
      <c r="M197" s="42" t="s">
        <v>30</v>
      </c>
      <c r="N197" s="42" t="str">
        <f>+INDEX(COMSY!F:F,MATCH(INSERITO_KIM[[#This Row],[Codice Comsy Tecnico Attuale]],COMSY!E:E,0))</f>
        <v>BOXSTORE DI SAVINO</v>
      </c>
      <c r="O197" s="42" t="str">
        <f>+INDEX(COMSY!G:G,MATCH(INSERITO_KIM[[#This Row],[Codice Comsy Tecnico Attuale]],COMSY!E:E,0))</f>
        <v>Giacomo</v>
      </c>
      <c r="P197" s="42" t="str">
        <f>+INDEX(PIANI!B:B,MATCH(INSERITO_KIM[[#This Row],[Valore]],PIANI!A:A,0))</f>
        <v>MOBILE</v>
      </c>
      <c r="Q197" s="42">
        <f>+INDEX(PIANI!D:D,MATCH(INSERITO_KIM[[#This Row],[Valore]],PIANI!A:A,0))</f>
        <v>20</v>
      </c>
    </row>
    <row r="198" spans="1:17" x14ac:dyDescent="0.3">
      <c r="A198" s="42" t="s">
        <v>1295</v>
      </c>
      <c r="B198" s="42" t="s">
        <v>1296</v>
      </c>
      <c r="C198" s="42" t="s">
        <v>16</v>
      </c>
      <c r="D198">
        <v>24387683</v>
      </c>
      <c r="E198" s="42" t="s">
        <v>1297</v>
      </c>
      <c r="F198" s="42" t="s">
        <v>82</v>
      </c>
      <c r="G198">
        <v>20</v>
      </c>
      <c r="H198" s="42" t="s">
        <v>21</v>
      </c>
      <c r="I198">
        <v>9.9499999999999993</v>
      </c>
      <c r="J198" s="42" t="s">
        <v>14</v>
      </c>
      <c r="K198" s="42" t="s">
        <v>23</v>
      </c>
      <c r="L198" s="10">
        <v>45911</v>
      </c>
      <c r="M198" s="42" t="s">
        <v>30</v>
      </c>
      <c r="N198" s="42" t="str">
        <f>+INDEX(COMSY!F:F,MATCH(INSERITO_KIM[[#This Row],[Codice Comsy Tecnico Attuale]],COMSY!E:E,0))</f>
        <v>BOXSTORE DI SAVINO</v>
      </c>
      <c r="O198" s="42" t="str">
        <f>+INDEX(COMSY!G:G,MATCH(INSERITO_KIM[[#This Row],[Codice Comsy Tecnico Attuale]],COMSY!E:E,0))</f>
        <v>Giacomo</v>
      </c>
      <c r="P198" s="42" t="str">
        <f>+INDEX(PIANI!B:B,MATCH(INSERITO_KIM[[#This Row],[Valore]],PIANI!A:A,0))</f>
        <v>MOBILE</v>
      </c>
      <c r="Q198" s="42">
        <f>+INDEX(PIANI!D:D,MATCH(INSERITO_KIM[[#This Row],[Valore]],PIANI!A:A,0))</f>
        <v>20</v>
      </c>
    </row>
    <row r="199" spans="1:17" x14ac:dyDescent="0.3">
      <c r="A199" s="42" t="s">
        <v>926</v>
      </c>
      <c r="B199" s="42" t="s">
        <v>927</v>
      </c>
      <c r="C199" s="42" t="s">
        <v>16</v>
      </c>
      <c r="D199">
        <v>24363259</v>
      </c>
      <c r="E199" s="42" t="s">
        <v>928</v>
      </c>
      <c r="F199" s="42" t="s">
        <v>596</v>
      </c>
      <c r="G199">
        <v>20</v>
      </c>
      <c r="H199" s="42" t="s">
        <v>21</v>
      </c>
      <c r="I199">
        <v>8.9499999999999993</v>
      </c>
      <c r="J199" s="42" t="s">
        <v>17</v>
      </c>
      <c r="K199" s="42" t="s">
        <v>17</v>
      </c>
      <c r="L199" s="10">
        <v>45902</v>
      </c>
      <c r="M199" s="42" t="s">
        <v>30</v>
      </c>
      <c r="N199" s="42" t="str">
        <f>+INDEX(COMSY!F:F,MATCH(INSERITO_KIM[[#This Row],[Codice Comsy Tecnico Attuale]],COMSY!E:E,0))</f>
        <v>5G STORE S.R.L.S</v>
      </c>
      <c r="O199" s="42" t="str">
        <f>+INDEX(COMSY!G:G,MATCH(INSERITO_KIM[[#This Row],[Codice Comsy Tecnico Attuale]],COMSY!E:E,0))</f>
        <v>Armando</v>
      </c>
      <c r="P199" s="42" t="str">
        <f>+INDEX(PIANI!B:B,MATCH(INSERITO_KIM[[#This Row],[Valore]],PIANI!A:A,0))</f>
        <v>MOBILE</v>
      </c>
      <c r="Q199" s="42">
        <f>+INDEX(PIANI!D:D,MATCH(INSERITO_KIM[[#This Row],[Valore]],PIANI!A:A,0))</f>
        <v>20</v>
      </c>
    </row>
    <row r="200" spans="1:17" x14ac:dyDescent="0.3">
      <c r="A200" s="42" t="s">
        <v>1243</v>
      </c>
      <c r="B200" s="42" t="s">
        <v>1244</v>
      </c>
      <c r="C200" s="42" t="s">
        <v>16</v>
      </c>
      <c r="D200">
        <v>24386901</v>
      </c>
      <c r="E200" s="42" t="s">
        <v>1245</v>
      </c>
      <c r="F200" s="42" t="s">
        <v>615</v>
      </c>
      <c r="G200">
        <v>20</v>
      </c>
      <c r="H200" s="42" t="s">
        <v>21</v>
      </c>
      <c r="I200">
        <v>9.9499999999999993</v>
      </c>
      <c r="J200" s="42" t="s">
        <v>17</v>
      </c>
      <c r="K200" s="42" t="s">
        <v>17</v>
      </c>
      <c r="L200" s="10">
        <v>45910</v>
      </c>
      <c r="M200" s="42" t="s">
        <v>30</v>
      </c>
      <c r="N200" s="42" t="str">
        <f>+INDEX(COMSY!F:F,MATCH(INSERITO_KIM[[#This Row],[Codice Comsy Tecnico Attuale]],COMSY!E:E,0))</f>
        <v>L OGIN SOLUTION</v>
      </c>
      <c r="O200" s="42" t="str">
        <f>+INDEX(COMSY!G:G,MATCH(INSERITO_KIM[[#This Row],[Codice Comsy Tecnico Attuale]],COMSY!E:E,0))</f>
        <v>Giacomo</v>
      </c>
      <c r="P200" s="42" t="str">
        <f>+INDEX(PIANI!B:B,MATCH(INSERITO_KIM[[#This Row],[Valore]],PIANI!A:A,0))</f>
        <v>MOBILE</v>
      </c>
      <c r="Q200" s="42">
        <f>+INDEX(PIANI!D:D,MATCH(INSERITO_KIM[[#This Row],[Valore]],PIANI!A:A,0))</f>
        <v>20</v>
      </c>
    </row>
    <row r="201" spans="1:17" x14ac:dyDescent="0.3">
      <c r="A201" s="42" t="s">
        <v>901</v>
      </c>
      <c r="B201" s="42" t="s">
        <v>902</v>
      </c>
      <c r="C201" s="42" t="s">
        <v>16</v>
      </c>
      <c r="D201">
        <v>24366163</v>
      </c>
      <c r="E201" s="42" t="s">
        <v>903</v>
      </c>
      <c r="F201" s="42" t="s">
        <v>633</v>
      </c>
      <c r="G201">
        <v>20</v>
      </c>
      <c r="H201" s="42" t="s">
        <v>700</v>
      </c>
      <c r="I201">
        <v>32.9</v>
      </c>
      <c r="J201" s="42" t="s">
        <v>17</v>
      </c>
      <c r="K201" s="42" t="s">
        <v>17</v>
      </c>
      <c r="L201" s="10">
        <v>45902</v>
      </c>
      <c r="M201" s="42" t="s">
        <v>30</v>
      </c>
      <c r="N201" s="42" t="str">
        <f>+INDEX(COMSY!F:F,MATCH(INSERITO_KIM[[#This Row],[Codice Comsy Tecnico Attuale]],COMSY!E:E,0))</f>
        <v>RISOLTO LAB MONOPOLI</v>
      </c>
      <c r="O201" s="42" t="str">
        <f>+INDEX(COMSY!G:G,MATCH(INSERITO_KIM[[#This Row],[Codice Comsy Tecnico Attuale]],COMSY!E:E,0))</f>
        <v>Giacomo</v>
      </c>
      <c r="P201" s="42" t="str">
        <f>+INDEX(PIANI!B:B,MATCH(INSERITO_KIM[[#This Row],[Valore]],PIANI!A:A,0))</f>
        <v>MOBILE</v>
      </c>
      <c r="Q201" s="42">
        <f>+INDEX(PIANI!D:D,MATCH(INSERITO_KIM[[#This Row],[Valore]],PIANI!A:A,0))</f>
        <v>20</v>
      </c>
    </row>
    <row r="202" spans="1:17" x14ac:dyDescent="0.3">
      <c r="A202" s="42" t="s">
        <v>1109</v>
      </c>
      <c r="B202" s="42" t="s">
        <v>1110</v>
      </c>
      <c r="C202" s="42" t="s">
        <v>16</v>
      </c>
      <c r="D202">
        <v>24372779</v>
      </c>
      <c r="E202" s="42" t="s">
        <v>1111</v>
      </c>
      <c r="F202" s="42" t="s">
        <v>660</v>
      </c>
      <c r="G202">
        <v>20</v>
      </c>
      <c r="H202" s="42" t="s">
        <v>21</v>
      </c>
      <c r="I202">
        <v>9.9499999999999993</v>
      </c>
      <c r="J202" s="42" t="s">
        <v>17</v>
      </c>
      <c r="K202" s="42" t="s">
        <v>17</v>
      </c>
      <c r="L202" s="10">
        <v>45905</v>
      </c>
      <c r="M202" s="42" t="s">
        <v>30</v>
      </c>
      <c r="N202" s="42" t="str">
        <f>+INDEX(COMSY!F:F,MATCH(INSERITO_KIM[[#This Row],[Codice Comsy Tecnico Attuale]],COMSY!E:E,0))</f>
        <v>MEDIASERVICE DI PATRUNO MARCO</v>
      </c>
      <c r="O202" s="42" t="str">
        <f>+INDEX(COMSY!G:G,MATCH(INSERITO_KIM[[#This Row],[Codice Comsy Tecnico Attuale]],COMSY!E:E,0))</f>
        <v>Giacomo</v>
      </c>
      <c r="P202" s="42" t="str">
        <f>+INDEX(PIANI!B:B,MATCH(INSERITO_KIM[[#This Row],[Valore]],PIANI!A:A,0))</f>
        <v>MOBILE</v>
      </c>
      <c r="Q202" s="42">
        <f>+INDEX(PIANI!D:D,MATCH(INSERITO_KIM[[#This Row],[Valore]],PIANI!A:A,0))</f>
        <v>20</v>
      </c>
    </row>
    <row r="203" spans="1:17" x14ac:dyDescent="0.3">
      <c r="A203" s="42" t="s">
        <v>1143</v>
      </c>
      <c r="B203" s="42" t="s">
        <v>1144</v>
      </c>
      <c r="C203" s="42" t="s">
        <v>16</v>
      </c>
      <c r="D203">
        <v>24380092</v>
      </c>
      <c r="E203" s="42" t="s">
        <v>1145</v>
      </c>
      <c r="F203" s="42" t="s">
        <v>664</v>
      </c>
      <c r="G203">
        <v>20</v>
      </c>
      <c r="H203" s="42" t="s">
        <v>700</v>
      </c>
      <c r="I203">
        <v>33.9</v>
      </c>
      <c r="J203" s="42" t="s">
        <v>14</v>
      </c>
      <c r="K203" s="42" t="s">
        <v>877</v>
      </c>
      <c r="L203" s="10">
        <v>45908</v>
      </c>
      <c r="M203" s="42" t="s">
        <v>30</v>
      </c>
      <c r="N203" s="42" t="str">
        <f>+INDEX(COMSY!F:F,MATCH(INSERITO_KIM[[#This Row],[Codice Comsy Tecnico Attuale]],COMSY!E:E,0))</f>
        <v>DECOM</v>
      </c>
      <c r="O203" s="42" t="str">
        <f>+INDEX(COMSY!G:G,MATCH(INSERITO_KIM[[#This Row],[Codice Comsy Tecnico Attuale]],COMSY!E:E,0))</f>
        <v>Giacomo</v>
      </c>
      <c r="P203" s="42" t="str">
        <f>+INDEX(PIANI!B:B,MATCH(INSERITO_KIM[[#This Row],[Valore]],PIANI!A:A,0))</f>
        <v>MOBILE</v>
      </c>
      <c r="Q203" s="42">
        <f>+INDEX(PIANI!D:D,MATCH(INSERITO_KIM[[#This Row],[Valore]],PIANI!A:A,0))</f>
        <v>20</v>
      </c>
    </row>
    <row r="204" spans="1:17" x14ac:dyDescent="0.3">
      <c r="A204" s="42" t="s">
        <v>1322</v>
      </c>
      <c r="B204" s="42" t="s">
        <v>1323</v>
      </c>
      <c r="C204" s="42" t="s">
        <v>16</v>
      </c>
      <c r="D204">
        <v>24391455</v>
      </c>
      <c r="E204" s="42" t="s">
        <v>1324</v>
      </c>
      <c r="F204" s="42" t="s">
        <v>751</v>
      </c>
      <c r="G204">
        <v>20</v>
      </c>
      <c r="H204" s="42" t="s">
        <v>700</v>
      </c>
      <c r="I204">
        <v>33.9</v>
      </c>
      <c r="J204" s="42" t="s">
        <v>14</v>
      </c>
      <c r="K204" s="42" t="s">
        <v>780</v>
      </c>
      <c r="L204" s="10">
        <v>45912</v>
      </c>
      <c r="M204" s="42" t="s">
        <v>30</v>
      </c>
      <c r="N204" s="42" t="str">
        <f>+INDEX(COMSY!F:F,MATCH(INSERITO_KIM[[#This Row],[Codice Comsy Tecnico Attuale]],COMSY!E:E,0))</f>
        <v>S.I.P.R.A. ITALIA SAS DI LASALVIA M. &amp; MONTERISI G.</v>
      </c>
      <c r="O204" s="42" t="str">
        <f>+INDEX(COMSY!G:G,MATCH(INSERITO_KIM[[#This Row],[Codice Comsy Tecnico Attuale]],COMSY!E:E,0))</f>
        <v>Luigi</v>
      </c>
      <c r="P204" s="42" t="str">
        <f>+INDEX(PIANI!B:B,MATCH(INSERITO_KIM[[#This Row],[Valore]],PIANI!A:A,0))</f>
        <v>MOBILE</v>
      </c>
      <c r="Q204" s="42">
        <f>+INDEX(PIANI!D:D,MATCH(INSERITO_KIM[[#This Row],[Valore]],PIANI!A:A,0))</f>
        <v>20</v>
      </c>
    </row>
    <row r="205" spans="1:17" x14ac:dyDescent="0.3">
      <c r="A205" s="42" t="s">
        <v>1325</v>
      </c>
      <c r="B205" s="42" t="s">
        <v>1326</v>
      </c>
      <c r="C205" s="42" t="s">
        <v>16</v>
      </c>
      <c r="D205">
        <v>24393323</v>
      </c>
      <c r="E205" s="42" t="s">
        <v>1327</v>
      </c>
      <c r="F205" s="42" t="s">
        <v>751</v>
      </c>
      <c r="G205">
        <v>20</v>
      </c>
      <c r="H205" s="42" t="s">
        <v>700</v>
      </c>
      <c r="I205">
        <v>33.9</v>
      </c>
      <c r="J205" s="42" t="s">
        <v>14</v>
      </c>
      <c r="K205" s="42" t="s">
        <v>877</v>
      </c>
      <c r="L205" s="10">
        <v>45912</v>
      </c>
      <c r="M205" s="42" t="s">
        <v>30</v>
      </c>
      <c r="N205" s="42" t="str">
        <f>+INDEX(COMSY!F:F,MATCH(INSERITO_KIM[[#This Row],[Codice Comsy Tecnico Attuale]],COMSY!E:E,0))</f>
        <v>S.I.P.R.A. ITALIA SAS DI LASALVIA M. &amp; MONTERISI G.</v>
      </c>
      <c r="O205" s="42" t="str">
        <f>+INDEX(COMSY!G:G,MATCH(INSERITO_KIM[[#This Row],[Codice Comsy Tecnico Attuale]],COMSY!E:E,0))</f>
        <v>Luigi</v>
      </c>
      <c r="P205" s="42" t="str">
        <f>+INDEX(PIANI!B:B,MATCH(INSERITO_KIM[[#This Row],[Valore]],PIANI!A:A,0))</f>
        <v>MOBILE</v>
      </c>
      <c r="Q205" s="42">
        <f>+INDEX(PIANI!D:D,MATCH(INSERITO_KIM[[#This Row],[Valore]],PIANI!A:A,0))</f>
        <v>20</v>
      </c>
    </row>
    <row r="206" spans="1:17" x14ac:dyDescent="0.3">
      <c r="A206" s="42" t="s">
        <v>856</v>
      </c>
      <c r="B206" s="42" t="s">
        <v>857</v>
      </c>
      <c r="C206" s="42" t="s">
        <v>16</v>
      </c>
      <c r="D206">
        <v>24362007</v>
      </c>
      <c r="E206" s="42" t="s">
        <v>858</v>
      </c>
      <c r="F206" s="42" t="s">
        <v>64</v>
      </c>
      <c r="G206">
        <v>20</v>
      </c>
      <c r="H206" s="42" t="s">
        <v>21</v>
      </c>
      <c r="I206">
        <v>8.9499999999999993</v>
      </c>
      <c r="J206" s="42" t="s">
        <v>17</v>
      </c>
      <c r="K206" s="42" t="s">
        <v>17</v>
      </c>
      <c r="L206" s="10">
        <v>45901</v>
      </c>
      <c r="M206" s="42" t="s">
        <v>30</v>
      </c>
      <c r="N206" s="42" t="str">
        <f>+INDEX(COMSY!F:F,MATCH(INSERITO_KIM[[#This Row],[Codice Comsy Tecnico Attuale]],COMSY!E:E,0))</f>
        <v>MEDIA CENTER DI LUCA BARBERIO</v>
      </c>
      <c r="O206" s="42" t="str">
        <f>+INDEX(COMSY!G:G,MATCH(INSERITO_KIM[[#This Row],[Codice Comsy Tecnico Attuale]],COMSY!E:E,0))</f>
        <v>Giacomo</v>
      </c>
      <c r="P206" s="42" t="str">
        <f>+INDEX(PIANI!B:B,MATCH(INSERITO_KIM[[#This Row],[Valore]],PIANI!A:A,0))</f>
        <v>MOBILE</v>
      </c>
      <c r="Q206" s="42">
        <f>+INDEX(PIANI!D:D,MATCH(INSERITO_KIM[[#This Row],[Valore]],PIANI!A:A,0))</f>
        <v>20</v>
      </c>
    </row>
    <row r="207" spans="1:17" x14ac:dyDescent="0.3">
      <c r="A207" s="42" t="s">
        <v>1185</v>
      </c>
      <c r="B207" s="42" t="s">
        <v>1186</v>
      </c>
      <c r="C207" s="42" t="s">
        <v>16</v>
      </c>
      <c r="D207">
        <v>24380926</v>
      </c>
      <c r="E207" s="42" t="s">
        <v>1187</v>
      </c>
      <c r="F207" s="42" t="s">
        <v>64</v>
      </c>
      <c r="G207">
        <v>20</v>
      </c>
      <c r="H207" s="42" t="s">
        <v>700</v>
      </c>
      <c r="I207">
        <v>35.9</v>
      </c>
      <c r="J207" s="42" t="s">
        <v>14</v>
      </c>
      <c r="K207" s="42" t="s">
        <v>877</v>
      </c>
      <c r="L207" s="10">
        <v>45909</v>
      </c>
      <c r="M207" s="42" t="s">
        <v>30</v>
      </c>
      <c r="N207" s="42" t="str">
        <f>+INDEX(COMSY!F:F,MATCH(INSERITO_KIM[[#This Row],[Codice Comsy Tecnico Attuale]],COMSY!E:E,0))</f>
        <v>MEDIA CENTER DI LUCA BARBERIO</v>
      </c>
      <c r="O207" s="42" t="str">
        <f>+INDEX(COMSY!G:G,MATCH(INSERITO_KIM[[#This Row],[Codice Comsy Tecnico Attuale]],COMSY!E:E,0))</f>
        <v>Giacomo</v>
      </c>
      <c r="P207" s="42" t="str">
        <f>+INDEX(PIANI!B:B,MATCH(INSERITO_KIM[[#This Row],[Valore]],PIANI!A:A,0))</f>
        <v>MOBILE</v>
      </c>
      <c r="Q207" s="42">
        <f>+INDEX(PIANI!D:D,MATCH(INSERITO_KIM[[#This Row],[Valore]],PIANI!A:A,0))</f>
        <v>20</v>
      </c>
    </row>
    <row r="208" spans="1:17" x14ac:dyDescent="0.3">
      <c r="A208" s="42" t="s">
        <v>859</v>
      </c>
      <c r="B208" s="42" t="s">
        <v>860</v>
      </c>
      <c r="C208" s="42" t="s">
        <v>16</v>
      </c>
      <c r="D208">
        <v>24362641</v>
      </c>
      <c r="E208" s="42" t="s">
        <v>861</v>
      </c>
      <c r="F208" s="42" t="s">
        <v>62</v>
      </c>
      <c r="G208">
        <v>20</v>
      </c>
      <c r="H208" s="42" t="s">
        <v>21</v>
      </c>
      <c r="I208">
        <v>8.9499999999999993</v>
      </c>
      <c r="J208" s="42" t="s">
        <v>17</v>
      </c>
      <c r="K208" s="42" t="s">
        <v>17</v>
      </c>
      <c r="L208" s="10">
        <v>45901</v>
      </c>
      <c r="M208" s="42" t="s">
        <v>30</v>
      </c>
      <c r="N208" s="42" t="str">
        <f>+INDEX(COMSY!F:F,MATCH(INSERITO_KIM[[#This Row],[Codice Comsy Tecnico Attuale]],COMSY!E:E,0))</f>
        <v xml:space="preserve">INFOPOINT DI DEL VECCHIO ROSA E CORTIGIANO CARMELA </v>
      </c>
      <c r="O208" s="42" t="str">
        <f>+INDEX(COMSY!G:G,MATCH(INSERITO_KIM[[#This Row],[Codice Comsy Tecnico Attuale]],COMSY!E:E,0))</f>
        <v>Giacomo</v>
      </c>
      <c r="P208" s="42" t="str">
        <f>+INDEX(PIANI!B:B,MATCH(INSERITO_KIM[[#This Row],[Valore]],PIANI!A:A,0))</f>
        <v>MOBILE</v>
      </c>
      <c r="Q208" s="42">
        <f>+INDEX(PIANI!D:D,MATCH(INSERITO_KIM[[#This Row],[Valore]],PIANI!A:A,0))</f>
        <v>20</v>
      </c>
    </row>
    <row r="209" spans="1:17" x14ac:dyDescent="0.3">
      <c r="A209" s="42" t="s">
        <v>1146</v>
      </c>
      <c r="B209" s="42" t="s">
        <v>1147</v>
      </c>
      <c r="C209" s="42" t="s">
        <v>16</v>
      </c>
      <c r="D209">
        <v>24379847</v>
      </c>
      <c r="E209" s="42" t="s">
        <v>1148</v>
      </c>
      <c r="F209" s="42" t="s">
        <v>62</v>
      </c>
      <c r="G209">
        <v>20</v>
      </c>
      <c r="H209" s="42" t="s">
        <v>700</v>
      </c>
      <c r="I209">
        <v>33.9</v>
      </c>
      <c r="J209" s="42" t="s">
        <v>14</v>
      </c>
      <c r="K209" s="42" t="s">
        <v>877</v>
      </c>
      <c r="L209" s="10">
        <v>45908</v>
      </c>
      <c r="M209" s="42" t="s">
        <v>30</v>
      </c>
      <c r="N209" s="42" t="str">
        <f>+INDEX(COMSY!F:F,MATCH(INSERITO_KIM[[#This Row],[Codice Comsy Tecnico Attuale]],COMSY!E:E,0))</f>
        <v xml:space="preserve">INFOPOINT DI DEL VECCHIO ROSA E CORTIGIANO CARMELA </v>
      </c>
      <c r="O209" s="42" t="str">
        <f>+INDEX(COMSY!G:G,MATCH(INSERITO_KIM[[#This Row],[Codice Comsy Tecnico Attuale]],COMSY!E:E,0))</f>
        <v>Giacomo</v>
      </c>
      <c r="P209" s="42" t="str">
        <f>+INDEX(PIANI!B:B,MATCH(INSERITO_KIM[[#This Row],[Valore]],PIANI!A:A,0))</f>
        <v>MOBILE</v>
      </c>
      <c r="Q209" s="42">
        <f>+INDEX(PIANI!D:D,MATCH(INSERITO_KIM[[#This Row],[Valore]],PIANI!A:A,0))</f>
        <v>20</v>
      </c>
    </row>
    <row r="210" spans="1:17" x14ac:dyDescent="0.3">
      <c r="A210" s="42" t="s">
        <v>962</v>
      </c>
      <c r="B210" s="42" t="s">
        <v>963</v>
      </c>
      <c r="C210" s="42" t="s">
        <v>16</v>
      </c>
      <c r="D210">
        <v>24366792</v>
      </c>
      <c r="E210" s="42" t="s">
        <v>977</v>
      </c>
      <c r="F210" s="42" t="s">
        <v>75</v>
      </c>
      <c r="G210">
        <v>20</v>
      </c>
      <c r="H210" s="42" t="s">
        <v>700</v>
      </c>
      <c r="I210">
        <v>34.9</v>
      </c>
      <c r="J210" s="42" t="s">
        <v>14</v>
      </c>
      <c r="K210" s="42" t="s">
        <v>877</v>
      </c>
      <c r="L210" s="10">
        <v>45903</v>
      </c>
      <c r="M210" s="42" t="s">
        <v>30</v>
      </c>
      <c r="N210" s="42" t="str">
        <f>+INDEX(COMSY!F:F,MATCH(INSERITO_KIM[[#This Row],[Codice Comsy Tecnico Attuale]],COMSY!E:E,0))</f>
        <v xml:space="preserve">DE TOMMASO ANTONIO         </v>
      </c>
      <c r="O210" s="42" t="str">
        <f>+INDEX(COMSY!G:G,MATCH(INSERITO_KIM[[#This Row],[Codice Comsy Tecnico Attuale]],COMSY!E:E,0))</f>
        <v>Giacomo</v>
      </c>
      <c r="P210" s="42" t="str">
        <f>+INDEX(PIANI!B:B,MATCH(INSERITO_KIM[[#This Row],[Valore]],PIANI!A:A,0))</f>
        <v>MOBILE</v>
      </c>
      <c r="Q210" s="42">
        <f>+INDEX(PIANI!D:D,MATCH(INSERITO_KIM[[#This Row],[Valore]],PIANI!A:A,0))</f>
        <v>20</v>
      </c>
    </row>
    <row r="211" spans="1:17" x14ac:dyDescent="0.3">
      <c r="A211" s="42" t="s">
        <v>1112</v>
      </c>
      <c r="B211" s="42" t="s">
        <v>1113</v>
      </c>
      <c r="C211" s="42" t="s">
        <v>16</v>
      </c>
      <c r="D211">
        <v>24370115</v>
      </c>
      <c r="E211" s="42" t="s">
        <v>1114</v>
      </c>
      <c r="F211" s="42" t="s">
        <v>65</v>
      </c>
      <c r="G211">
        <v>20</v>
      </c>
      <c r="H211" s="42" t="s">
        <v>21</v>
      </c>
      <c r="I211">
        <v>9.9499999999999993</v>
      </c>
      <c r="J211" s="42" t="s">
        <v>17</v>
      </c>
      <c r="K211" s="42" t="s">
        <v>17</v>
      </c>
      <c r="L211" s="10">
        <v>45904</v>
      </c>
      <c r="M211" s="42" t="s">
        <v>30</v>
      </c>
      <c r="N211" s="42" t="str">
        <f>+INDEX(COMSY!F:F,MATCH(INSERITO_KIM[[#This Row],[Codice Comsy Tecnico Attuale]],COMSY!E:E,0))</f>
        <v xml:space="preserve">S.O.S. SMARTPHONE DI GERARDO </v>
      </c>
      <c r="O211" s="42" t="str">
        <f>+INDEX(COMSY!G:G,MATCH(INSERITO_KIM[[#This Row],[Codice Comsy Tecnico Attuale]],COMSY!E:E,0))</f>
        <v>Giacomo</v>
      </c>
      <c r="P211" s="42" t="str">
        <f>+INDEX(PIANI!B:B,MATCH(INSERITO_KIM[[#This Row],[Valore]],PIANI!A:A,0))</f>
        <v>MOBILE</v>
      </c>
      <c r="Q211" s="42">
        <f>+INDEX(PIANI!D:D,MATCH(INSERITO_KIM[[#This Row],[Valore]],PIANI!A:A,0))</f>
        <v>20</v>
      </c>
    </row>
    <row r="212" spans="1:17" x14ac:dyDescent="0.3">
      <c r="A212" s="42" t="s">
        <v>1328</v>
      </c>
      <c r="B212" s="42" t="s">
        <v>1329</v>
      </c>
      <c r="C212" s="42" t="s">
        <v>16</v>
      </c>
      <c r="D212">
        <v>24393480</v>
      </c>
      <c r="E212" s="42" t="s">
        <v>1330</v>
      </c>
      <c r="F212" s="42" t="s">
        <v>281</v>
      </c>
      <c r="G212">
        <v>20</v>
      </c>
      <c r="H212" s="42" t="s">
        <v>700</v>
      </c>
      <c r="I212">
        <v>33.9</v>
      </c>
      <c r="J212" s="42" t="s">
        <v>14</v>
      </c>
      <c r="K212" s="42" t="s">
        <v>877</v>
      </c>
      <c r="L212" s="10">
        <v>45912</v>
      </c>
      <c r="M212" s="42" t="s">
        <v>30</v>
      </c>
      <c r="N212" s="42" t="str">
        <f>+INDEX(COMSY!F:F,MATCH(INSERITO_KIM[[#This Row],[Codice Comsy Tecnico Attuale]],COMSY!E:E,0))</f>
        <v>THE WALL MUSIC CENTER DI GRASSI GIANLUCA</v>
      </c>
      <c r="O212" s="42" t="str">
        <f>+INDEX(COMSY!G:G,MATCH(INSERITO_KIM[[#This Row],[Codice Comsy Tecnico Attuale]],COMSY!E:E,0))</f>
        <v>Raffaele</v>
      </c>
      <c r="P212" s="42" t="str">
        <f>+INDEX(PIANI!B:B,MATCH(INSERITO_KIM[[#This Row],[Valore]],PIANI!A:A,0))</f>
        <v>MOBILE</v>
      </c>
      <c r="Q212" s="42">
        <f>+INDEX(PIANI!D:D,MATCH(INSERITO_KIM[[#This Row],[Valore]],PIANI!A:A,0))</f>
        <v>20</v>
      </c>
    </row>
    <row r="213" spans="1:17" x14ac:dyDescent="0.3">
      <c r="A213" s="42" t="s">
        <v>1395</v>
      </c>
      <c r="B213" s="42" t="s">
        <v>1396</v>
      </c>
      <c r="C213" s="42" t="s">
        <v>16</v>
      </c>
      <c r="D213">
        <v>24394355</v>
      </c>
      <c r="E213" s="42" t="s">
        <v>1397</v>
      </c>
      <c r="F213" s="42" t="s">
        <v>208</v>
      </c>
      <c r="G213">
        <v>20</v>
      </c>
      <c r="H213" s="42" t="s">
        <v>21</v>
      </c>
      <c r="I213">
        <v>9.9499999999999993</v>
      </c>
      <c r="J213" s="42" t="s">
        <v>14</v>
      </c>
      <c r="K213" s="42" t="s">
        <v>23</v>
      </c>
      <c r="L213" s="10">
        <v>45913</v>
      </c>
      <c r="M213" s="42" t="s">
        <v>30</v>
      </c>
      <c r="N213" s="42" t="str">
        <f>+INDEX(COMSY!F:F,MATCH(INSERITO_KIM[[#This Row],[Codice Comsy Tecnico Attuale]],COMSY!E:E,0))</f>
        <v>ELECTROASSIST DI LABIENTE LAZZARO</v>
      </c>
      <c r="O213" s="42" t="str">
        <f>+INDEX(COMSY!G:G,MATCH(INSERITO_KIM[[#This Row],[Codice Comsy Tecnico Attuale]],COMSY!E:E,0))</f>
        <v>Luigi</v>
      </c>
      <c r="P213" s="42" t="str">
        <f>+INDEX(PIANI!B:B,MATCH(INSERITO_KIM[[#This Row],[Valore]],PIANI!A:A,0))</f>
        <v>MOBILE</v>
      </c>
      <c r="Q213" s="42">
        <f>+INDEX(PIANI!D:D,MATCH(INSERITO_KIM[[#This Row],[Valore]],PIANI!A:A,0))</f>
        <v>20</v>
      </c>
    </row>
    <row r="214" spans="1:17" x14ac:dyDescent="0.3">
      <c r="A214" s="42" t="s">
        <v>978</v>
      </c>
      <c r="B214" s="42" t="s">
        <v>979</v>
      </c>
      <c r="C214" s="42" t="s">
        <v>16</v>
      </c>
      <c r="D214">
        <v>24369368</v>
      </c>
      <c r="E214" s="42" t="s">
        <v>980</v>
      </c>
      <c r="F214" s="42" t="s">
        <v>336</v>
      </c>
      <c r="G214">
        <v>20</v>
      </c>
      <c r="H214" s="42" t="s">
        <v>21</v>
      </c>
      <c r="I214">
        <v>8.9499999999999993</v>
      </c>
      <c r="J214" s="42" t="s">
        <v>17</v>
      </c>
      <c r="K214" s="42" t="s">
        <v>17</v>
      </c>
      <c r="L214" s="10">
        <v>45903</v>
      </c>
      <c r="M214" s="42" t="s">
        <v>30</v>
      </c>
      <c r="N214" s="42" t="str">
        <f>+INDEX(COMSY!F:F,MATCH(INSERITO_KIM[[#This Row],[Codice Comsy Tecnico Attuale]],COMSY!E:E,0))</f>
        <v>VERRE DONATO</v>
      </c>
      <c r="O214" s="42" t="str">
        <f>+INDEX(COMSY!G:G,MATCH(INSERITO_KIM[[#This Row],[Codice Comsy Tecnico Attuale]],COMSY!E:E,0))</f>
        <v>Giacomo</v>
      </c>
      <c r="P214" s="42" t="str">
        <f>+INDEX(PIANI!B:B,MATCH(INSERITO_KIM[[#This Row],[Valore]],PIANI!A:A,0))</f>
        <v>MOBILE</v>
      </c>
      <c r="Q214" s="42">
        <f>+INDEX(PIANI!D:D,MATCH(INSERITO_KIM[[#This Row],[Valore]],PIANI!A:A,0))</f>
        <v>20</v>
      </c>
    </row>
    <row r="215" spans="1:17" x14ac:dyDescent="0.3">
      <c r="A215" s="42" t="s">
        <v>832</v>
      </c>
      <c r="B215" s="42" t="s">
        <v>833</v>
      </c>
      <c r="C215" s="42" t="s">
        <v>16</v>
      </c>
      <c r="D215">
        <v>24362651</v>
      </c>
      <c r="E215" s="42" t="s">
        <v>834</v>
      </c>
      <c r="F215" s="42" t="s">
        <v>113</v>
      </c>
      <c r="G215">
        <v>20</v>
      </c>
      <c r="H215" s="42" t="s">
        <v>700</v>
      </c>
      <c r="I215">
        <v>32.9</v>
      </c>
      <c r="J215" s="42" t="s">
        <v>14</v>
      </c>
      <c r="K215" s="42" t="s">
        <v>877</v>
      </c>
      <c r="L215" s="10">
        <v>45901</v>
      </c>
      <c r="M215" s="42" t="s">
        <v>30</v>
      </c>
      <c r="N215" s="42" t="str">
        <f>+INDEX(COMSY!F:F,MATCH(INSERITO_KIM[[#This Row],[Codice Comsy Tecnico Attuale]],COMSY!E:E,0))</f>
        <v>ELEKTRO-DO DOMENICO LOBASCIO</v>
      </c>
      <c r="O215" s="42" t="str">
        <f>+INDEX(COMSY!G:G,MATCH(INSERITO_KIM[[#This Row],[Codice Comsy Tecnico Attuale]],COMSY!E:E,0))</f>
        <v>Giacomo</v>
      </c>
      <c r="P215" s="42" t="str">
        <f>+INDEX(PIANI!B:B,MATCH(INSERITO_KIM[[#This Row],[Valore]],PIANI!A:A,0))</f>
        <v>MOBILE</v>
      </c>
      <c r="Q215" s="42">
        <f>+INDEX(PIANI!D:D,MATCH(INSERITO_KIM[[#This Row],[Valore]],PIANI!A:A,0))</f>
        <v>20</v>
      </c>
    </row>
    <row r="216" spans="1:17" x14ac:dyDescent="0.3">
      <c r="A216" s="42" t="s">
        <v>1346</v>
      </c>
      <c r="B216" s="42" t="s">
        <v>1347</v>
      </c>
      <c r="C216" s="42" t="s">
        <v>16</v>
      </c>
      <c r="D216">
        <v>24393514</v>
      </c>
      <c r="E216" s="42" t="s">
        <v>1348</v>
      </c>
      <c r="F216" s="42" t="s">
        <v>87</v>
      </c>
      <c r="G216">
        <v>20</v>
      </c>
      <c r="H216" s="42" t="s">
        <v>21</v>
      </c>
      <c r="I216">
        <v>9.9499999999999993</v>
      </c>
      <c r="J216" s="42" t="s">
        <v>14</v>
      </c>
      <c r="K216" s="42" t="s">
        <v>23</v>
      </c>
      <c r="L216" s="10">
        <v>45912</v>
      </c>
      <c r="M216" s="42" t="s">
        <v>30</v>
      </c>
      <c r="N216" s="42" t="str">
        <f>+INDEX(COMSY!F:F,MATCH(INSERITO_KIM[[#This Row],[Codice Comsy Tecnico Attuale]],COMSY!E:E,0))</f>
        <v>IN RETE DI GIACOMO LEO</v>
      </c>
      <c r="O216" s="42" t="str">
        <f>+INDEX(COMSY!G:G,MATCH(INSERITO_KIM[[#This Row],[Codice Comsy Tecnico Attuale]],COMSY!E:E,0))</f>
        <v>Raffaele</v>
      </c>
      <c r="P216" s="42" t="str">
        <f>+INDEX(PIANI!B:B,MATCH(INSERITO_KIM[[#This Row],[Valore]],PIANI!A:A,0))</f>
        <v>MOBILE</v>
      </c>
      <c r="Q216" s="42">
        <f>+INDEX(PIANI!D:D,MATCH(INSERITO_KIM[[#This Row],[Valore]],PIANI!A:A,0))</f>
        <v>20</v>
      </c>
    </row>
    <row r="217" spans="1:17" x14ac:dyDescent="0.3">
      <c r="A217" s="42" t="s">
        <v>1020</v>
      </c>
      <c r="B217" s="42" t="s">
        <v>1021</v>
      </c>
      <c r="C217" s="42" t="s">
        <v>16</v>
      </c>
      <c r="D217">
        <v>24374942</v>
      </c>
      <c r="E217" s="42" t="s">
        <v>1022</v>
      </c>
      <c r="F217" s="42" t="s">
        <v>52</v>
      </c>
      <c r="G217">
        <v>20</v>
      </c>
      <c r="H217" s="42" t="s">
        <v>700</v>
      </c>
      <c r="I217">
        <v>33.9</v>
      </c>
      <c r="J217" s="42" t="s">
        <v>14</v>
      </c>
      <c r="K217" s="42" t="s">
        <v>877</v>
      </c>
      <c r="L217" s="10">
        <v>45906</v>
      </c>
      <c r="M217" s="42" t="s">
        <v>30</v>
      </c>
      <c r="N217" s="42" t="str">
        <f>+INDEX(COMSY!F:F,MATCH(INSERITO_KIM[[#This Row],[Codice Comsy Tecnico Attuale]],COMSY!E:E,0))</f>
        <v>HUB 98 di DRAGONE GIUSEPPE</v>
      </c>
      <c r="O217" s="42" t="str">
        <f>+INDEX(COMSY!G:G,MATCH(INSERITO_KIM[[#This Row],[Codice Comsy Tecnico Attuale]],COMSY!E:E,0))</f>
        <v>Raffaele</v>
      </c>
      <c r="P217" s="42" t="str">
        <f>+INDEX(PIANI!B:B,MATCH(INSERITO_KIM[[#This Row],[Valore]],PIANI!A:A,0))</f>
        <v>MOBILE</v>
      </c>
      <c r="Q217" s="42">
        <f>+INDEX(PIANI!D:D,MATCH(INSERITO_KIM[[#This Row],[Valore]],PIANI!A:A,0))</f>
        <v>20</v>
      </c>
    </row>
    <row r="218" spans="1:17" x14ac:dyDescent="0.3">
      <c r="A218" s="42" t="s">
        <v>862</v>
      </c>
      <c r="B218" s="42" t="s">
        <v>863</v>
      </c>
      <c r="C218" s="42" t="s">
        <v>16</v>
      </c>
      <c r="D218">
        <v>24362842</v>
      </c>
      <c r="E218" s="42" t="s">
        <v>864</v>
      </c>
      <c r="F218" s="42" t="s">
        <v>450</v>
      </c>
      <c r="G218">
        <v>20</v>
      </c>
      <c r="H218" s="42" t="s">
        <v>21</v>
      </c>
      <c r="I218">
        <v>8.9499999999999993</v>
      </c>
      <c r="J218" s="42" t="s">
        <v>17</v>
      </c>
      <c r="K218" s="42" t="s">
        <v>17</v>
      </c>
      <c r="L218" s="10">
        <v>45901</v>
      </c>
      <c r="M218" s="42" t="s">
        <v>30</v>
      </c>
      <c r="N218" s="42" t="str">
        <f>+INDEX(COMSY!F:F,MATCH(INSERITO_KIM[[#This Row],[Codice Comsy Tecnico Attuale]],COMSY!E:E,0))</f>
        <v>R&amp;P PLANET PHONE SRLS</v>
      </c>
      <c r="O218" s="42" t="str">
        <f>+INDEX(COMSY!G:G,MATCH(INSERITO_KIM[[#This Row],[Codice Comsy Tecnico Attuale]],COMSY!E:E,0))</f>
        <v>Giacomo</v>
      </c>
      <c r="P218" s="42" t="str">
        <f>+INDEX(PIANI!B:B,MATCH(INSERITO_KIM[[#This Row],[Valore]],PIANI!A:A,0))</f>
        <v>MOBILE</v>
      </c>
      <c r="Q218" s="42">
        <f>+INDEX(PIANI!D:D,MATCH(INSERITO_KIM[[#This Row],[Valore]],PIANI!A:A,0))</f>
        <v>20</v>
      </c>
    </row>
    <row r="219" spans="1:17" x14ac:dyDescent="0.3">
      <c r="A219" s="42" t="s">
        <v>929</v>
      </c>
      <c r="B219" s="42" t="s">
        <v>930</v>
      </c>
      <c r="C219" s="42" t="s">
        <v>16</v>
      </c>
      <c r="D219">
        <v>24366218</v>
      </c>
      <c r="E219" s="42" t="s">
        <v>931</v>
      </c>
      <c r="F219" s="42" t="s">
        <v>633</v>
      </c>
      <c r="G219">
        <v>20</v>
      </c>
      <c r="H219" s="42" t="s">
        <v>21</v>
      </c>
      <c r="I219">
        <v>8.9499999999999993</v>
      </c>
      <c r="J219" s="42" t="s">
        <v>17</v>
      </c>
      <c r="K219" s="42" t="s">
        <v>17</v>
      </c>
      <c r="L219" s="10">
        <v>45902</v>
      </c>
      <c r="M219" s="42" t="s">
        <v>30</v>
      </c>
      <c r="N219" s="42" t="str">
        <f>+INDEX(COMSY!F:F,MATCH(INSERITO_KIM[[#This Row],[Codice Comsy Tecnico Attuale]],COMSY!E:E,0))</f>
        <v>RISOLTO LAB MONOPOLI</v>
      </c>
      <c r="O219" s="42" t="str">
        <f>+INDEX(COMSY!G:G,MATCH(INSERITO_KIM[[#This Row],[Codice Comsy Tecnico Attuale]],COMSY!E:E,0))</f>
        <v>Giacomo</v>
      </c>
      <c r="P219" s="42" t="str">
        <f>+INDEX(PIANI!B:B,MATCH(INSERITO_KIM[[#This Row],[Valore]],PIANI!A:A,0))</f>
        <v>MOBILE</v>
      </c>
      <c r="Q219" s="42">
        <f>+INDEX(PIANI!D:D,MATCH(INSERITO_KIM[[#This Row],[Valore]],PIANI!A:A,0))</f>
        <v>20</v>
      </c>
    </row>
    <row r="220" spans="1:17" x14ac:dyDescent="0.3">
      <c r="A220" s="42" t="s">
        <v>1204</v>
      </c>
      <c r="B220" s="42" t="s">
        <v>1205</v>
      </c>
      <c r="C220" s="42" t="s">
        <v>16</v>
      </c>
      <c r="D220">
        <v>24381200</v>
      </c>
      <c r="E220" s="42" t="s">
        <v>1206</v>
      </c>
      <c r="F220" s="42" t="s">
        <v>708</v>
      </c>
      <c r="G220">
        <v>20</v>
      </c>
      <c r="H220" s="42" t="s">
        <v>700</v>
      </c>
      <c r="I220">
        <v>35.9</v>
      </c>
      <c r="J220" s="42" t="s">
        <v>14</v>
      </c>
      <c r="K220" s="42" t="s">
        <v>1118</v>
      </c>
      <c r="L220" s="10">
        <v>45909</v>
      </c>
      <c r="M220" s="42" t="s">
        <v>30</v>
      </c>
      <c r="N220" s="42" t="str">
        <f>+INDEX(COMSY!F:F,MATCH(INSERITO_KIM[[#This Row],[Codice Comsy Tecnico Attuale]],COMSY!E:E,0))</f>
        <v>SMARTPHONE S.R.L.</v>
      </c>
      <c r="O220" s="42" t="str">
        <f>+INDEX(COMSY!G:G,MATCH(INSERITO_KIM[[#This Row],[Codice Comsy Tecnico Attuale]],COMSY!E:E,0))</f>
        <v>Giacomo</v>
      </c>
      <c r="P220" s="42" t="str">
        <f>+INDEX(PIANI!B:B,MATCH(INSERITO_KIM[[#This Row],[Valore]],PIANI!A:A,0))</f>
        <v>MOBILE</v>
      </c>
      <c r="Q220" s="42">
        <f>+INDEX(PIANI!D:D,MATCH(INSERITO_KIM[[#This Row],[Valore]],PIANI!A:A,0))</f>
        <v>20</v>
      </c>
    </row>
    <row r="221" spans="1:17" x14ac:dyDescent="0.3">
      <c r="A221" s="42" t="s">
        <v>1349</v>
      </c>
      <c r="B221" s="42" t="s">
        <v>1350</v>
      </c>
      <c r="C221" s="42" t="s">
        <v>12</v>
      </c>
      <c r="D221">
        <v>24391627</v>
      </c>
      <c r="E221" s="42" t="s">
        <v>1351</v>
      </c>
      <c r="F221" s="42" t="s">
        <v>752</v>
      </c>
      <c r="G221">
        <v>350</v>
      </c>
      <c r="H221" s="42" t="s">
        <v>700</v>
      </c>
      <c r="I221">
        <v>38.9</v>
      </c>
      <c r="J221" s="42" t="s">
        <v>14</v>
      </c>
      <c r="K221" s="42" t="s">
        <v>780</v>
      </c>
      <c r="L221" s="10">
        <v>45912</v>
      </c>
      <c r="M221" s="42" t="s">
        <v>31</v>
      </c>
      <c r="N221" s="42" t="str">
        <f>+INDEX(COMSY!F:F,MATCH(INSERITO_KIM[[#This Row],[Codice Comsy Tecnico Attuale]],COMSY!E:E,0))</f>
        <v>S.I.P.R.A. ITALIA SAS DI LASALVIA M. &amp; MONTERISI G.</v>
      </c>
      <c r="O221" s="42" t="str">
        <f>+INDEX(COMSY!G:G,MATCH(INSERITO_KIM[[#This Row],[Codice Comsy Tecnico Attuale]],COMSY!E:E,0))</f>
        <v>Luigi</v>
      </c>
      <c r="P221" s="42" t="str">
        <f>+INDEX(PIANI!B:B,MATCH(INSERITO_KIM[[#This Row],[Valore]],PIANI!A:A,0))</f>
        <v>MOBILE</v>
      </c>
      <c r="Q221" s="42">
        <f>+INDEX(PIANI!D:D,MATCH(INSERITO_KIM[[#This Row],[Valore]],PIANI!A:A,0))</f>
        <v>24.4</v>
      </c>
    </row>
    <row r="222" spans="1:17" x14ac:dyDescent="0.3">
      <c r="A222" s="42" t="s">
        <v>1298</v>
      </c>
      <c r="B222" s="42" t="s">
        <v>1299</v>
      </c>
      <c r="C222" s="42" t="s">
        <v>12</v>
      </c>
      <c r="D222">
        <v>24388569</v>
      </c>
      <c r="E222" s="42" t="s">
        <v>1300</v>
      </c>
      <c r="F222" s="42" t="s">
        <v>795</v>
      </c>
      <c r="G222">
        <v>42</v>
      </c>
      <c r="H222" s="42" t="s">
        <v>21</v>
      </c>
      <c r="I222">
        <v>21.9</v>
      </c>
      <c r="J222" s="42" t="s">
        <v>14</v>
      </c>
      <c r="K222" s="42" t="s">
        <v>23</v>
      </c>
      <c r="L222" s="10">
        <v>45911</v>
      </c>
      <c r="M222" s="42" t="s">
        <v>31</v>
      </c>
      <c r="N222" s="42" t="str">
        <f>+INDEX(COMSY!F:F,MATCH(INSERITO_KIM[[#This Row],[Codice Comsy Tecnico Attuale]],COMSY!E:E,0))</f>
        <v>MOVIESTARS SRLS</v>
      </c>
      <c r="O222" s="42" t="str">
        <f>+INDEX(COMSY!G:G,MATCH(INSERITO_KIM[[#This Row],[Codice Comsy Tecnico Attuale]],COMSY!E:E,0))</f>
        <v>Raffaele</v>
      </c>
      <c r="P222" s="42" t="str">
        <f>+INDEX(PIANI!B:B,MATCH(INSERITO_KIM[[#This Row],[Valore]],PIANI!A:A,0))</f>
        <v>MOBILE</v>
      </c>
      <c r="Q222" s="42">
        <f>+INDEX(PIANI!D:D,MATCH(INSERITO_KIM[[#This Row],[Valore]],PIANI!A:A,0))</f>
        <v>24.4</v>
      </c>
    </row>
    <row r="223" spans="1:17" x14ac:dyDescent="0.3">
      <c r="A223" s="42" t="s">
        <v>1298</v>
      </c>
      <c r="B223" s="42" t="s">
        <v>1299</v>
      </c>
      <c r="C223" s="42" t="s">
        <v>12</v>
      </c>
      <c r="D223">
        <v>24388569</v>
      </c>
      <c r="E223" s="42" t="s">
        <v>1300</v>
      </c>
      <c r="F223" s="42" t="s">
        <v>795</v>
      </c>
      <c r="G223">
        <v>42</v>
      </c>
      <c r="H223" s="42" t="s">
        <v>21</v>
      </c>
      <c r="I223">
        <v>21.9</v>
      </c>
      <c r="J223" s="42" t="s">
        <v>14</v>
      </c>
      <c r="K223" s="42" t="s">
        <v>23</v>
      </c>
      <c r="L223" s="10">
        <v>45911</v>
      </c>
      <c r="M223" s="42" t="s">
        <v>31</v>
      </c>
      <c r="N223" s="42" t="str">
        <f>+INDEX(COMSY!F:F,MATCH(INSERITO_KIM[[#This Row],[Codice Comsy Tecnico Attuale]],COMSY!E:E,0))</f>
        <v>MOVIESTARS SRLS</v>
      </c>
      <c r="O223" s="42" t="str">
        <f>+INDEX(COMSY!G:G,MATCH(INSERITO_KIM[[#This Row],[Codice Comsy Tecnico Attuale]],COMSY!E:E,0))</f>
        <v>Raffaele</v>
      </c>
      <c r="P223" s="42" t="str">
        <f>+INDEX(PIANI!B:B,MATCH(INSERITO_KIM[[#This Row],[Valore]],PIANI!A:A,0))</f>
        <v>MOBILE</v>
      </c>
      <c r="Q223" s="42">
        <f>+INDEX(PIANI!D:D,MATCH(INSERITO_KIM[[#This Row],[Valore]],PIANI!A:A,0))</f>
        <v>24.4</v>
      </c>
    </row>
    <row r="224" spans="1:17" x14ac:dyDescent="0.3">
      <c r="A224" s="42" t="s">
        <v>865</v>
      </c>
      <c r="B224" s="42" t="s">
        <v>866</v>
      </c>
      <c r="C224" s="42" t="s">
        <v>16</v>
      </c>
      <c r="D224">
        <v>24360252</v>
      </c>
      <c r="E224" s="42" t="s">
        <v>867</v>
      </c>
      <c r="F224" s="42" t="s">
        <v>70</v>
      </c>
      <c r="G224">
        <v>23</v>
      </c>
      <c r="H224" s="42" t="s">
        <v>21</v>
      </c>
      <c r="I224">
        <v>12.95</v>
      </c>
      <c r="J224" s="42" t="s">
        <v>17</v>
      </c>
      <c r="K224" s="42" t="s">
        <v>17</v>
      </c>
      <c r="L224" s="10">
        <v>45901</v>
      </c>
      <c r="M224" s="42" t="s">
        <v>33</v>
      </c>
      <c r="N224" s="42" t="str">
        <f>+INDEX(COMSY!F:F,MATCH(INSERITO_KIM[[#This Row],[Codice Comsy Tecnico Attuale]],COMSY!E:E,0))</f>
        <v>QUARTA MATTIA</v>
      </c>
      <c r="O224" s="42" t="str">
        <f>+INDEX(COMSY!G:G,MATCH(INSERITO_KIM[[#This Row],[Codice Comsy Tecnico Attuale]],COMSY!E:E,0))</f>
        <v>Raffaele</v>
      </c>
      <c r="P224" s="42" t="str">
        <f>+INDEX(PIANI!B:B,MATCH(INSERITO_KIM[[#This Row],[Valore]],PIANI!A:A,0))</f>
        <v>MOBILE</v>
      </c>
      <c r="Q224" s="42">
        <f>+INDEX(PIANI!D:D,MATCH(INSERITO_KIM[[#This Row],[Valore]],PIANI!A:A,0))</f>
        <v>22</v>
      </c>
    </row>
    <row r="225" spans="1:17" x14ac:dyDescent="0.3">
      <c r="A225" s="42" t="s">
        <v>981</v>
      </c>
      <c r="B225" s="42" t="s">
        <v>982</v>
      </c>
      <c r="C225" s="42" t="s">
        <v>16</v>
      </c>
      <c r="D225">
        <v>24368980</v>
      </c>
      <c r="E225" s="42" t="s">
        <v>983</v>
      </c>
      <c r="F225" s="42" t="s">
        <v>50</v>
      </c>
      <c r="G225">
        <v>23</v>
      </c>
      <c r="H225" s="42" t="s">
        <v>21</v>
      </c>
      <c r="I225">
        <v>12.95</v>
      </c>
      <c r="J225" s="42" t="s">
        <v>17</v>
      </c>
      <c r="K225" s="42" t="s">
        <v>17</v>
      </c>
      <c r="L225" s="10">
        <v>45903</v>
      </c>
      <c r="M225" s="42" t="s">
        <v>33</v>
      </c>
      <c r="N225" s="42" t="str">
        <f>+INDEX(COMSY!F:F,MATCH(INSERITO_KIM[[#This Row],[Codice Comsy Tecnico Attuale]],COMSY!E:E,0))</f>
        <v>KIM</v>
      </c>
      <c r="O225" s="42" t="str">
        <f>+INDEX(COMSY!G:G,MATCH(INSERITO_KIM[[#This Row],[Codice Comsy Tecnico Attuale]],COMSY!E:E,0))</f>
        <v>KIM</v>
      </c>
      <c r="P225" s="42" t="str">
        <f>+INDEX(PIANI!B:B,MATCH(INSERITO_KIM[[#This Row],[Valore]],PIANI!A:A,0))</f>
        <v>MOBILE</v>
      </c>
      <c r="Q225" s="42">
        <f>+INDEX(PIANI!D:D,MATCH(INSERITO_KIM[[#This Row],[Valore]],PIANI!A:A,0))</f>
        <v>22</v>
      </c>
    </row>
    <row r="226" spans="1:17" x14ac:dyDescent="0.3">
      <c r="A226" s="42" t="s">
        <v>868</v>
      </c>
      <c r="B226" s="42" t="s">
        <v>869</v>
      </c>
      <c r="C226" s="42" t="s">
        <v>16</v>
      </c>
      <c r="D226">
        <v>24362710</v>
      </c>
      <c r="E226" s="42" t="s">
        <v>870</v>
      </c>
      <c r="F226" s="42" t="s">
        <v>713</v>
      </c>
      <c r="G226">
        <v>23</v>
      </c>
      <c r="H226" s="42" t="s">
        <v>21</v>
      </c>
      <c r="I226">
        <v>12.95</v>
      </c>
      <c r="J226" s="42" t="s">
        <v>17</v>
      </c>
      <c r="K226" s="42" t="s">
        <v>17</v>
      </c>
      <c r="L226" s="10">
        <v>45901</v>
      </c>
      <c r="M226" s="42" t="s">
        <v>33</v>
      </c>
      <c r="N226" s="42" t="str">
        <f>+INDEX(COMSY!F:F,MATCH(INSERITO_KIM[[#This Row],[Codice Comsy Tecnico Attuale]],COMSY!E:E,0))</f>
        <v>MONDO TELEFONO 2.0 DI BORRINO GIANPIERO</v>
      </c>
      <c r="O226" s="42" t="str">
        <f>+INDEX(COMSY!G:G,MATCH(INSERITO_KIM[[#This Row],[Codice Comsy Tecnico Attuale]],COMSY!E:E,0))</f>
        <v>Giacomo</v>
      </c>
      <c r="P226" s="42" t="str">
        <f>+INDEX(PIANI!B:B,MATCH(INSERITO_KIM[[#This Row],[Valore]],PIANI!A:A,0))</f>
        <v>MOBILE</v>
      </c>
      <c r="Q226" s="42">
        <f>+INDEX(PIANI!D:D,MATCH(INSERITO_KIM[[#This Row],[Valore]],PIANI!A:A,0))</f>
        <v>22</v>
      </c>
    </row>
    <row r="227" spans="1:17" x14ac:dyDescent="0.3">
      <c r="A227" s="42" t="s">
        <v>871</v>
      </c>
      <c r="B227" s="42" t="s">
        <v>872</v>
      </c>
      <c r="C227" s="42" t="s">
        <v>16</v>
      </c>
      <c r="D227">
        <v>24228138</v>
      </c>
      <c r="E227" s="42" t="s">
        <v>873</v>
      </c>
      <c r="F227" s="42" t="s">
        <v>774</v>
      </c>
      <c r="G227">
        <v>23</v>
      </c>
      <c r="H227" s="42" t="s">
        <v>21</v>
      </c>
      <c r="I227">
        <v>12.95</v>
      </c>
      <c r="J227" s="42" t="s">
        <v>17</v>
      </c>
      <c r="K227" s="42" t="s">
        <v>17</v>
      </c>
      <c r="L227" s="10">
        <v>45901</v>
      </c>
      <c r="M227" s="42" t="s">
        <v>33</v>
      </c>
      <c r="N227" s="42" t="str">
        <f>+INDEX(COMSY!F:F,MATCH(INSERITO_KIM[[#This Row],[Codice Comsy Tecnico Attuale]],COMSY!E:E,0))</f>
        <v>TELEFONIA SERVICE DI ANTONELLI MICHELE</v>
      </c>
      <c r="O227" s="42" t="str">
        <f>+INDEX(COMSY!G:G,MATCH(INSERITO_KIM[[#This Row],[Codice Comsy Tecnico Attuale]],COMSY!E:E,0))</f>
        <v>Luigi</v>
      </c>
      <c r="P227" s="42" t="str">
        <f>+INDEX(PIANI!B:B,MATCH(INSERITO_KIM[[#This Row],[Valore]],PIANI!A:A,0))</f>
        <v>MOBILE</v>
      </c>
      <c r="Q227" s="42">
        <f>+INDEX(PIANI!D:D,MATCH(INSERITO_KIM[[#This Row],[Valore]],PIANI!A:A,0))</f>
        <v>22</v>
      </c>
    </row>
    <row r="228" spans="1:17" x14ac:dyDescent="0.3">
      <c r="A228" s="42" t="s">
        <v>1349</v>
      </c>
      <c r="B228" s="42" t="s">
        <v>1350</v>
      </c>
      <c r="C228" s="42" t="s">
        <v>12</v>
      </c>
      <c r="D228">
        <v>24391627</v>
      </c>
      <c r="E228" s="42" t="s">
        <v>1351</v>
      </c>
      <c r="F228" s="42" t="s">
        <v>752</v>
      </c>
      <c r="G228">
        <v>350</v>
      </c>
      <c r="H228" s="42" t="s">
        <v>700</v>
      </c>
      <c r="I228">
        <v>38.9</v>
      </c>
      <c r="J228" s="42" t="s">
        <v>14</v>
      </c>
      <c r="K228" s="42" t="s">
        <v>780</v>
      </c>
      <c r="L228" s="10">
        <v>45912</v>
      </c>
      <c r="M228" s="42" t="s">
        <v>630</v>
      </c>
      <c r="N228" s="42" t="str">
        <f>+INDEX(COMSY!F:F,MATCH(INSERITO_KIM[[#This Row],[Codice Comsy Tecnico Attuale]],COMSY!E:E,0))</f>
        <v>S.I.P.R.A. ITALIA SAS DI LASALVIA M. &amp; MONTERISI G.</v>
      </c>
      <c r="O228" s="42" t="str">
        <f>+INDEX(COMSY!G:G,MATCH(INSERITO_KIM[[#This Row],[Codice Comsy Tecnico Attuale]],COMSY!E:E,0))</f>
        <v>Luigi</v>
      </c>
      <c r="P228" s="42" t="str">
        <f>+INDEX(PIANI!B:B,MATCH(INSERITO_KIM[[#This Row],[Valore]],PIANI!A:A,0))</f>
        <v>FISSO</v>
      </c>
      <c r="Q228" s="42">
        <f>+INDEX(PIANI!D:D,MATCH(INSERITO_KIM[[#This Row],[Valore]],PIANI!A:A,0))</f>
        <v>0</v>
      </c>
    </row>
    <row r="229" spans="1:17" x14ac:dyDescent="0.3">
      <c r="A229" s="42" t="s">
        <v>1301</v>
      </c>
      <c r="B229" s="42" t="s">
        <v>1302</v>
      </c>
      <c r="C229" s="42" t="s">
        <v>16</v>
      </c>
      <c r="D229">
        <v>12710303</v>
      </c>
      <c r="E229" s="42" t="s">
        <v>1303</v>
      </c>
      <c r="F229" s="42" t="s">
        <v>748</v>
      </c>
      <c r="G229">
        <v>0</v>
      </c>
      <c r="H229" s="42" t="s">
        <v>13</v>
      </c>
      <c r="I229">
        <v>25.95</v>
      </c>
      <c r="J229" s="42" t="s">
        <v>14</v>
      </c>
      <c r="K229" s="42" t="s">
        <v>780</v>
      </c>
      <c r="L229" s="10">
        <v>45911</v>
      </c>
      <c r="M229" s="42" t="s">
        <v>629</v>
      </c>
      <c r="N229" s="42" t="str">
        <f>+INDEX(COMSY!F:F,MATCH(INSERITO_KIM[[#This Row],[Codice Comsy Tecnico Attuale]],COMSY!E:E,0))</f>
        <v>SOLUZIONI AMBIENTALI DI GENNARO MARTUSCIELLO</v>
      </c>
      <c r="O229" s="42" t="str">
        <f>+INDEX(COMSY!G:G,MATCH(INSERITO_KIM[[#This Row],[Codice Comsy Tecnico Attuale]],COMSY!E:E,0))</f>
        <v>Armando</v>
      </c>
      <c r="P229" s="42" t="str">
        <f>+INDEX(PIANI!B:B,MATCH(INSERITO_KIM[[#This Row],[Valore]],PIANI!A:A,0))</f>
        <v>FISSO</v>
      </c>
      <c r="Q229" s="42">
        <f>+INDEX(PIANI!D:D,MATCH(INSERITO_KIM[[#This Row],[Valore]],PIANI!A:A,0))</f>
        <v>0</v>
      </c>
    </row>
    <row r="230" spans="1:17" x14ac:dyDescent="0.3">
      <c r="A230" s="42" t="s">
        <v>1188</v>
      </c>
      <c r="B230" s="42" t="s">
        <v>1189</v>
      </c>
      <c r="C230" s="42" t="s">
        <v>16</v>
      </c>
      <c r="D230">
        <v>24383309</v>
      </c>
      <c r="E230" s="42" t="s">
        <v>1190</v>
      </c>
      <c r="F230" s="42" t="s">
        <v>751</v>
      </c>
      <c r="G230">
        <v>20</v>
      </c>
      <c r="H230" s="42" t="s">
        <v>700</v>
      </c>
      <c r="I230">
        <v>35.9</v>
      </c>
      <c r="J230" s="42" t="s">
        <v>14</v>
      </c>
      <c r="K230" s="42" t="s">
        <v>780</v>
      </c>
      <c r="L230" s="10">
        <v>45909</v>
      </c>
      <c r="M230" s="42" t="s">
        <v>629</v>
      </c>
      <c r="N230" s="42" t="str">
        <f>+INDEX(COMSY!F:F,MATCH(INSERITO_KIM[[#This Row],[Codice Comsy Tecnico Attuale]],COMSY!E:E,0))</f>
        <v>S.I.P.R.A. ITALIA SAS DI LASALVIA M. &amp; MONTERISI G.</v>
      </c>
      <c r="O230" s="42" t="str">
        <f>+INDEX(COMSY!G:G,MATCH(INSERITO_KIM[[#This Row],[Codice Comsy Tecnico Attuale]],COMSY!E:E,0))</f>
        <v>Luigi</v>
      </c>
      <c r="P230" s="42" t="str">
        <f>+INDEX(PIANI!B:B,MATCH(INSERITO_KIM[[#This Row],[Valore]],PIANI!A:A,0))</f>
        <v>FISSO</v>
      </c>
      <c r="Q230" s="42">
        <f>+INDEX(PIANI!D:D,MATCH(INSERITO_KIM[[#This Row],[Valore]],PIANI!A:A,0))</f>
        <v>0</v>
      </c>
    </row>
    <row r="231" spans="1:17" x14ac:dyDescent="0.3">
      <c r="A231" s="42" t="s">
        <v>1207</v>
      </c>
      <c r="B231" s="42" t="s">
        <v>1208</v>
      </c>
      <c r="C231" s="42" t="s">
        <v>16</v>
      </c>
      <c r="D231">
        <v>24233879</v>
      </c>
      <c r="E231" s="42" t="s">
        <v>1209</v>
      </c>
      <c r="F231" s="42" t="s">
        <v>751</v>
      </c>
      <c r="G231">
        <v>0</v>
      </c>
      <c r="H231" s="42" t="s">
        <v>13</v>
      </c>
      <c r="I231">
        <v>25.95</v>
      </c>
      <c r="J231" s="42" t="s">
        <v>14</v>
      </c>
      <c r="K231" s="42" t="s">
        <v>877</v>
      </c>
      <c r="L231" s="10">
        <v>45909</v>
      </c>
      <c r="M231" s="42" t="s">
        <v>629</v>
      </c>
      <c r="N231" s="42" t="str">
        <f>+INDEX(COMSY!F:F,MATCH(INSERITO_KIM[[#This Row],[Codice Comsy Tecnico Attuale]],COMSY!E:E,0))</f>
        <v>S.I.P.R.A. ITALIA SAS DI LASALVIA M. &amp; MONTERISI G.</v>
      </c>
      <c r="O231" s="42" t="str">
        <f>+INDEX(COMSY!G:G,MATCH(INSERITO_KIM[[#This Row],[Codice Comsy Tecnico Attuale]],COMSY!E:E,0))</f>
        <v>Luigi</v>
      </c>
      <c r="P231" s="42" t="str">
        <f>+INDEX(PIANI!B:B,MATCH(INSERITO_KIM[[#This Row],[Valore]],PIANI!A:A,0))</f>
        <v>FISSO</v>
      </c>
      <c r="Q231" s="42">
        <f>+INDEX(PIANI!D:D,MATCH(INSERITO_KIM[[#This Row],[Valore]],PIANI!A:A,0))</f>
        <v>0</v>
      </c>
    </row>
    <row r="232" spans="1:17" x14ac:dyDescent="0.3">
      <c r="A232" s="42" t="s">
        <v>1170</v>
      </c>
      <c r="B232" s="42" t="s">
        <v>1171</v>
      </c>
      <c r="C232" s="42" t="s">
        <v>16</v>
      </c>
      <c r="D232">
        <v>24376945</v>
      </c>
      <c r="E232" s="42" t="s">
        <v>1172</v>
      </c>
      <c r="F232" s="42" t="s">
        <v>154</v>
      </c>
      <c r="G232">
        <v>0</v>
      </c>
      <c r="H232" s="42" t="s">
        <v>13</v>
      </c>
      <c r="I232">
        <v>29.95</v>
      </c>
      <c r="J232" s="42" t="s">
        <v>14</v>
      </c>
      <c r="K232" s="42" t="s">
        <v>877</v>
      </c>
      <c r="L232" s="10">
        <v>45908</v>
      </c>
      <c r="M232" s="42" t="s">
        <v>629</v>
      </c>
      <c r="N232" s="42" t="str">
        <f>+INDEX(COMSY!F:F,MATCH(INSERITO_KIM[[#This Row],[Codice Comsy Tecnico Attuale]],COMSY!E:E,0))</f>
        <v>WIRELESS TECHNOLOGY DI INNANGI DESIDERIA</v>
      </c>
      <c r="O232" s="42" t="str">
        <f>+INDEX(COMSY!G:G,MATCH(INSERITO_KIM[[#This Row],[Codice Comsy Tecnico Attuale]],COMSY!E:E,0))</f>
        <v>Luigi</v>
      </c>
      <c r="P232" s="42" t="str">
        <f>+INDEX(PIANI!B:B,MATCH(INSERITO_KIM[[#This Row],[Valore]],PIANI!A:A,0))</f>
        <v>FISSO</v>
      </c>
      <c r="Q232" s="42">
        <f>+INDEX(PIANI!D:D,MATCH(INSERITO_KIM[[#This Row],[Valore]],PIANI!A:A,0))</f>
        <v>0</v>
      </c>
    </row>
    <row r="233" spans="1:17" x14ac:dyDescent="0.3">
      <c r="A233" s="42" t="s">
        <v>1051</v>
      </c>
      <c r="B233" s="42" t="s">
        <v>1052</v>
      </c>
      <c r="C233" s="42" t="s">
        <v>16</v>
      </c>
      <c r="D233">
        <v>24374440</v>
      </c>
      <c r="E233" s="42" t="s">
        <v>1053</v>
      </c>
      <c r="F233" s="42" t="s">
        <v>75</v>
      </c>
      <c r="G233">
        <v>20</v>
      </c>
      <c r="H233" s="42" t="s">
        <v>700</v>
      </c>
      <c r="I233">
        <v>35.9</v>
      </c>
      <c r="J233" s="42" t="s">
        <v>14</v>
      </c>
      <c r="K233" s="42" t="s">
        <v>877</v>
      </c>
      <c r="L233" s="10">
        <v>45905</v>
      </c>
      <c r="M233" s="42" t="s">
        <v>629</v>
      </c>
      <c r="N233" s="42" t="str">
        <f>+INDEX(COMSY!F:F,MATCH(INSERITO_KIM[[#This Row],[Codice Comsy Tecnico Attuale]],COMSY!E:E,0))</f>
        <v xml:space="preserve">DE TOMMASO ANTONIO         </v>
      </c>
      <c r="O233" s="42" t="str">
        <f>+INDEX(COMSY!G:G,MATCH(INSERITO_KIM[[#This Row],[Codice Comsy Tecnico Attuale]],COMSY!E:E,0))</f>
        <v>Giacomo</v>
      </c>
      <c r="P233" s="42" t="str">
        <f>+INDEX(PIANI!B:B,MATCH(INSERITO_KIM[[#This Row],[Valore]],PIANI!A:A,0))</f>
        <v>FISSO</v>
      </c>
      <c r="Q233" s="42">
        <f>+INDEX(PIANI!D:D,MATCH(INSERITO_KIM[[#This Row],[Valore]],PIANI!A:A,0))</f>
        <v>0</v>
      </c>
    </row>
    <row r="234" spans="1:17" x14ac:dyDescent="0.3">
      <c r="A234" s="42" t="s">
        <v>1246</v>
      </c>
      <c r="B234" s="42" t="s">
        <v>1247</v>
      </c>
      <c r="C234" s="42" t="s">
        <v>16</v>
      </c>
      <c r="D234">
        <v>24387185</v>
      </c>
      <c r="E234" s="42" t="s">
        <v>1248</v>
      </c>
      <c r="F234" s="42" t="s">
        <v>633</v>
      </c>
      <c r="G234">
        <v>0</v>
      </c>
      <c r="H234" s="42" t="s">
        <v>13</v>
      </c>
      <c r="I234">
        <v>29.95</v>
      </c>
      <c r="J234" s="42" t="s">
        <v>14</v>
      </c>
      <c r="K234" s="42" t="s">
        <v>877</v>
      </c>
      <c r="L234" s="10">
        <v>45910</v>
      </c>
      <c r="M234" s="42" t="s">
        <v>629</v>
      </c>
      <c r="N234" s="42" t="str">
        <f>+INDEX(COMSY!F:F,MATCH(INSERITO_KIM[[#This Row],[Codice Comsy Tecnico Attuale]],COMSY!E:E,0))</f>
        <v>RISOLTO LAB MONOPOLI</v>
      </c>
      <c r="O234" s="42" t="str">
        <f>+INDEX(COMSY!G:G,MATCH(INSERITO_KIM[[#This Row],[Codice Comsy Tecnico Attuale]],COMSY!E:E,0))</f>
        <v>Giacomo</v>
      </c>
      <c r="P234" s="42" t="str">
        <f>+INDEX(PIANI!B:B,MATCH(INSERITO_KIM[[#This Row],[Valore]],PIANI!A:A,0))</f>
        <v>FISSO</v>
      </c>
      <c r="Q234" s="42">
        <f>+INDEX(PIANI!D:D,MATCH(INSERITO_KIM[[#This Row],[Valore]],PIANI!A:A,0))</f>
        <v>0</v>
      </c>
    </row>
    <row r="235" spans="1:17" x14ac:dyDescent="0.3">
      <c r="A235" s="42" t="s">
        <v>1340</v>
      </c>
      <c r="B235" s="42" t="s">
        <v>1341</v>
      </c>
      <c r="C235" s="42" t="s">
        <v>16</v>
      </c>
      <c r="D235">
        <v>24391779</v>
      </c>
      <c r="E235" s="42" t="s">
        <v>1342</v>
      </c>
      <c r="F235" s="42" t="s">
        <v>109</v>
      </c>
      <c r="G235">
        <v>20</v>
      </c>
      <c r="H235" s="42" t="s">
        <v>700</v>
      </c>
      <c r="I235">
        <v>35.9</v>
      </c>
      <c r="J235" s="42" t="s">
        <v>14</v>
      </c>
      <c r="K235" s="42" t="s">
        <v>780</v>
      </c>
      <c r="L235" s="10">
        <v>45912</v>
      </c>
      <c r="M235" s="42" t="s">
        <v>629</v>
      </c>
      <c r="N235" s="42" t="str">
        <f>+INDEX(COMSY!F:F,MATCH(INSERITO_KIM[[#This Row],[Codice Comsy Tecnico Attuale]],COMSY!E:E,0))</f>
        <v>CASALUCI S.R.L.</v>
      </c>
      <c r="O235" s="42" t="str">
        <f>+INDEX(COMSY!G:G,MATCH(INSERITO_KIM[[#This Row],[Codice Comsy Tecnico Attuale]],COMSY!E:E,0))</f>
        <v>Raffaele</v>
      </c>
      <c r="P235" s="42" t="str">
        <f>+INDEX(PIANI!B:B,MATCH(INSERITO_KIM[[#This Row],[Valore]],PIANI!A:A,0))</f>
        <v>FISSO</v>
      </c>
      <c r="Q235" s="42">
        <f>+INDEX(PIANI!D:D,MATCH(INSERITO_KIM[[#This Row],[Valore]],PIANI!A:A,0))</f>
        <v>0</v>
      </c>
    </row>
    <row r="236" spans="1:17" x14ac:dyDescent="0.3">
      <c r="A236" s="42" t="s">
        <v>1063</v>
      </c>
      <c r="B236" s="42" t="s">
        <v>1064</v>
      </c>
      <c r="C236" s="42" t="s">
        <v>16</v>
      </c>
      <c r="D236">
        <v>24372827</v>
      </c>
      <c r="E236" s="42" t="s">
        <v>1065</v>
      </c>
      <c r="F236" s="42" t="s">
        <v>751</v>
      </c>
      <c r="G236">
        <v>20</v>
      </c>
      <c r="H236" s="42" t="s">
        <v>700</v>
      </c>
      <c r="I236">
        <v>35.9</v>
      </c>
      <c r="J236" s="42" t="s">
        <v>14</v>
      </c>
      <c r="K236" s="42" t="s">
        <v>877</v>
      </c>
      <c r="L236" s="10">
        <v>45905</v>
      </c>
      <c r="M236" s="42" t="s">
        <v>629</v>
      </c>
      <c r="N236" s="42" t="str">
        <f>+INDEX(COMSY!F:F,MATCH(INSERITO_KIM[[#This Row],[Codice Comsy Tecnico Attuale]],COMSY!E:E,0))</f>
        <v>S.I.P.R.A. ITALIA SAS DI LASALVIA M. &amp; MONTERISI G.</v>
      </c>
      <c r="O236" s="42" t="str">
        <f>+INDEX(COMSY!G:G,MATCH(INSERITO_KIM[[#This Row],[Codice Comsy Tecnico Attuale]],COMSY!E:E,0))</f>
        <v>Luigi</v>
      </c>
      <c r="P236" s="42" t="str">
        <f>+INDEX(PIANI!B:B,MATCH(INSERITO_KIM[[#This Row],[Valore]],PIANI!A:A,0))</f>
        <v>FISSO</v>
      </c>
      <c r="Q236" s="42">
        <f>+INDEX(PIANI!D:D,MATCH(INSERITO_KIM[[#This Row],[Valore]],PIANI!A:A,0))</f>
        <v>0</v>
      </c>
    </row>
    <row r="237" spans="1:17" x14ac:dyDescent="0.3">
      <c r="A237" s="42" t="s">
        <v>1228</v>
      </c>
      <c r="B237" s="42" t="s">
        <v>1229</v>
      </c>
      <c r="C237" s="42" t="s">
        <v>16</v>
      </c>
      <c r="D237">
        <v>24387286</v>
      </c>
      <c r="E237" s="42" t="s">
        <v>1230</v>
      </c>
      <c r="F237" s="42" t="s">
        <v>751</v>
      </c>
      <c r="G237">
        <v>40</v>
      </c>
      <c r="H237" s="42" t="s">
        <v>700</v>
      </c>
      <c r="I237">
        <v>45.85</v>
      </c>
      <c r="J237" s="42" t="s">
        <v>887</v>
      </c>
      <c r="K237" s="42" t="s">
        <v>888</v>
      </c>
      <c r="L237" s="10">
        <v>45910</v>
      </c>
      <c r="M237" s="42" t="s">
        <v>629</v>
      </c>
      <c r="N237" s="42" t="str">
        <f>+INDEX(COMSY!F:F,MATCH(INSERITO_KIM[[#This Row],[Codice Comsy Tecnico Attuale]],COMSY!E:E,0))</f>
        <v>S.I.P.R.A. ITALIA SAS DI LASALVIA M. &amp; MONTERISI G.</v>
      </c>
      <c r="O237" s="42" t="str">
        <f>+INDEX(COMSY!G:G,MATCH(INSERITO_KIM[[#This Row],[Codice Comsy Tecnico Attuale]],COMSY!E:E,0))</f>
        <v>Luigi</v>
      </c>
      <c r="P237" s="42" t="str">
        <f>+INDEX(PIANI!B:B,MATCH(INSERITO_KIM[[#This Row],[Valore]],PIANI!A:A,0))</f>
        <v>FISSO</v>
      </c>
      <c r="Q237" s="42">
        <f>+INDEX(PIANI!D:D,MATCH(INSERITO_KIM[[#This Row],[Valore]],PIANI!A:A,0))</f>
        <v>0</v>
      </c>
    </row>
    <row r="238" spans="1:17" x14ac:dyDescent="0.3">
      <c r="A238" s="42" t="s">
        <v>1271</v>
      </c>
      <c r="B238" s="42" t="s">
        <v>1272</v>
      </c>
      <c r="C238" s="42" t="s">
        <v>16</v>
      </c>
      <c r="D238">
        <v>24390405</v>
      </c>
      <c r="E238" s="42" t="s">
        <v>1273</v>
      </c>
      <c r="F238" s="42" t="s">
        <v>768</v>
      </c>
      <c r="G238">
        <v>20</v>
      </c>
      <c r="H238" s="42" t="s">
        <v>700</v>
      </c>
      <c r="I238">
        <v>35.9</v>
      </c>
      <c r="J238" s="42" t="s">
        <v>14</v>
      </c>
      <c r="K238" s="42" t="s">
        <v>780</v>
      </c>
      <c r="L238" s="10">
        <v>45911</v>
      </c>
      <c r="M238" s="42" t="s">
        <v>629</v>
      </c>
      <c r="N238" s="42" t="str">
        <f>+INDEX(COMSY!F:F,MATCH(INSERITO_KIM[[#This Row],[Codice Comsy Tecnico Attuale]],COMSY!E:E,0))</f>
        <v>ESSE.RRE UFFICIO</v>
      </c>
      <c r="O238" s="42" t="str">
        <f>+INDEX(COMSY!G:G,MATCH(INSERITO_KIM[[#This Row],[Codice Comsy Tecnico Attuale]],COMSY!E:E,0))</f>
        <v>Giacomo</v>
      </c>
      <c r="P238" s="42" t="str">
        <f>+INDEX(PIANI!B:B,MATCH(INSERITO_KIM[[#This Row],[Valore]],PIANI!A:A,0))</f>
        <v>FISSO</v>
      </c>
      <c r="Q238" s="42">
        <f>+INDEX(PIANI!D:D,MATCH(INSERITO_KIM[[#This Row],[Valore]],PIANI!A:A,0))</f>
        <v>0</v>
      </c>
    </row>
    <row r="239" spans="1:17" x14ac:dyDescent="0.3">
      <c r="A239" s="42" t="s">
        <v>962</v>
      </c>
      <c r="B239" s="42" t="s">
        <v>963</v>
      </c>
      <c r="C239" s="42" t="s">
        <v>16</v>
      </c>
      <c r="D239">
        <v>24366942</v>
      </c>
      <c r="E239" s="42" t="s">
        <v>964</v>
      </c>
      <c r="F239" s="42" t="s">
        <v>75</v>
      </c>
      <c r="G239">
        <v>20</v>
      </c>
      <c r="H239" s="42" t="s">
        <v>700</v>
      </c>
      <c r="I239">
        <v>34.9</v>
      </c>
      <c r="J239" s="42" t="s">
        <v>14</v>
      </c>
      <c r="K239" s="42" t="s">
        <v>877</v>
      </c>
      <c r="L239" s="10">
        <v>45903</v>
      </c>
      <c r="M239" s="42" t="s">
        <v>629</v>
      </c>
      <c r="N239" s="42" t="str">
        <f>+INDEX(COMSY!F:F,MATCH(INSERITO_KIM[[#This Row],[Codice Comsy Tecnico Attuale]],COMSY!E:E,0))</f>
        <v xml:space="preserve">DE TOMMASO ANTONIO         </v>
      </c>
      <c r="O239" s="42" t="str">
        <f>+INDEX(COMSY!G:G,MATCH(INSERITO_KIM[[#This Row],[Codice Comsy Tecnico Attuale]],COMSY!E:E,0))</f>
        <v>Giacomo</v>
      </c>
      <c r="P239" s="42" t="str">
        <f>+INDEX(PIANI!B:B,MATCH(INSERITO_KIM[[#This Row],[Valore]],PIANI!A:A,0))</f>
        <v>FISSO</v>
      </c>
      <c r="Q239" s="42">
        <f>+INDEX(PIANI!D:D,MATCH(INSERITO_KIM[[#This Row],[Valore]],PIANI!A:A,0))</f>
        <v>0</v>
      </c>
    </row>
    <row r="240" spans="1:17" x14ac:dyDescent="0.3">
      <c r="A240" s="42" t="s">
        <v>1115</v>
      </c>
      <c r="B240" s="42" t="s">
        <v>1116</v>
      </c>
      <c r="C240" s="42" t="s">
        <v>16</v>
      </c>
      <c r="D240">
        <v>24374433</v>
      </c>
      <c r="E240" s="42" t="s">
        <v>1117</v>
      </c>
      <c r="F240" s="42" t="s">
        <v>114</v>
      </c>
      <c r="G240">
        <v>0</v>
      </c>
      <c r="H240" s="42" t="s">
        <v>13</v>
      </c>
      <c r="I240">
        <v>29.95</v>
      </c>
      <c r="J240" s="42" t="s">
        <v>14</v>
      </c>
      <c r="K240" s="42" t="s">
        <v>877</v>
      </c>
      <c r="L240" s="10">
        <v>45905</v>
      </c>
      <c r="M240" s="42" t="s">
        <v>629</v>
      </c>
      <c r="N240" s="42" t="str">
        <f>+INDEX(COMSY!F:F,MATCH(INSERITO_KIM[[#This Row],[Codice Comsy Tecnico Attuale]],COMSY!E:E,0))</f>
        <v>MILILLO GIUSEPPE</v>
      </c>
      <c r="O240" s="42" t="str">
        <f>+INDEX(COMSY!G:G,MATCH(INSERITO_KIM[[#This Row],[Codice Comsy Tecnico Attuale]],COMSY!E:E,0))</f>
        <v>Giacomo</v>
      </c>
      <c r="P240" s="42" t="str">
        <f>+INDEX(PIANI!B:B,MATCH(INSERITO_KIM[[#This Row],[Valore]],PIANI!A:A,0))</f>
        <v>FISSO</v>
      </c>
      <c r="Q240" s="42">
        <f>+INDEX(PIANI!D:D,MATCH(INSERITO_KIM[[#This Row],[Valore]],PIANI!A:A,0))</f>
        <v>0</v>
      </c>
    </row>
    <row r="241" spans="1:17" x14ac:dyDescent="0.3">
      <c r="A241" s="42" t="s">
        <v>984</v>
      </c>
      <c r="B241" s="42" t="s">
        <v>985</v>
      </c>
      <c r="C241" s="42" t="s">
        <v>16</v>
      </c>
      <c r="D241">
        <v>24215372</v>
      </c>
      <c r="E241" s="42" t="s">
        <v>986</v>
      </c>
      <c r="F241" s="42" t="s">
        <v>87</v>
      </c>
      <c r="G241">
        <v>0</v>
      </c>
      <c r="H241" s="42" t="s">
        <v>13</v>
      </c>
      <c r="I241">
        <v>25.95</v>
      </c>
      <c r="J241" s="42" t="s">
        <v>17</v>
      </c>
      <c r="K241" s="42" t="s">
        <v>17</v>
      </c>
      <c r="L241" s="10">
        <v>45903</v>
      </c>
      <c r="M241" s="42" t="s">
        <v>629</v>
      </c>
      <c r="N241" s="42" t="str">
        <f>+INDEX(COMSY!F:F,MATCH(INSERITO_KIM[[#This Row],[Codice Comsy Tecnico Attuale]],COMSY!E:E,0))</f>
        <v>IN RETE DI GIACOMO LEO</v>
      </c>
      <c r="O241" s="42" t="str">
        <f>+INDEX(COMSY!G:G,MATCH(INSERITO_KIM[[#This Row],[Codice Comsy Tecnico Attuale]],COMSY!E:E,0))</f>
        <v>Raffaele</v>
      </c>
      <c r="P241" s="42" t="str">
        <f>+INDEX(PIANI!B:B,MATCH(INSERITO_KIM[[#This Row],[Valore]],PIANI!A:A,0))</f>
        <v>FISSO</v>
      </c>
      <c r="Q241" s="42">
        <f>+INDEX(PIANI!D:D,MATCH(INSERITO_KIM[[#This Row],[Valore]],PIANI!A:A,0))</f>
        <v>0</v>
      </c>
    </row>
    <row r="242" spans="1:17" x14ac:dyDescent="0.3">
      <c r="A242" s="42" t="s">
        <v>1119</v>
      </c>
      <c r="B242" s="42" t="s">
        <v>1120</v>
      </c>
      <c r="C242" s="42" t="s">
        <v>16</v>
      </c>
      <c r="D242">
        <v>24374634</v>
      </c>
      <c r="E242" s="42" t="s">
        <v>1121</v>
      </c>
      <c r="F242" s="42" t="s">
        <v>62</v>
      </c>
      <c r="G242">
        <v>0</v>
      </c>
      <c r="H242" s="42" t="s">
        <v>13</v>
      </c>
      <c r="I242">
        <v>29.95</v>
      </c>
      <c r="J242" s="42" t="s">
        <v>14</v>
      </c>
      <c r="K242" s="42" t="s">
        <v>1118</v>
      </c>
      <c r="L242" s="10">
        <v>45905</v>
      </c>
      <c r="M242" s="42" t="s">
        <v>629</v>
      </c>
      <c r="N242" s="42" t="str">
        <f>+INDEX(COMSY!F:F,MATCH(INSERITO_KIM[[#This Row],[Codice Comsy Tecnico Attuale]],COMSY!E:E,0))</f>
        <v xml:space="preserve">INFOPOINT DI DEL VECCHIO ROSA E CORTIGIANO CARMELA </v>
      </c>
      <c r="O242" s="42" t="str">
        <f>+INDEX(COMSY!G:G,MATCH(INSERITO_KIM[[#This Row],[Codice Comsy Tecnico Attuale]],COMSY!E:E,0))</f>
        <v>Giacomo</v>
      </c>
      <c r="P242" s="42" t="str">
        <f>+INDEX(PIANI!B:B,MATCH(INSERITO_KIM[[#This Row],[Valore]],PIANI!A:A,0))</f>
        <v>FISSO</v>
      </c>
      <c r="Q242" s="42">
        <f>+INDEX(PIANI!D:D,MATCH(INSERITO_KIM[[#This Row],[Valore]],PIANI!A:A,0))</f>
        <v>0</v>
      </c>
    </row>
    <row r="243" spans="1:17" x14ac:dyDescent="0.3">
      <c r="A243" s="42" t="s">
        <v>1201</v>
      </c>
      <c r="B243" s="42" t="s">
        <v>1202</v>
      </c>
      <c r="C243" s="42" t="s">
        <v>16</v>
      </c>
      <c r="D243">
        <v>24383445</v>
      </c>
      <c r="E243" s="42" t="s">
        <v>1203</v>
      </c>
      <c r="F243" s="42" t="s">
        <v>482</v>
      </c>
      <c r="G243">
        <v>20</v>
      </c>
      <c r="H243" s="42" t="s">
        <v>700</v>
      </c>
      <c r="I243">
        <v>35.9</v>
      </c>
      <c r="J243" s="42" t="s">
        <v>14</v>
      </c>
      <c r="K243" s="42" t="s">
        <v>877</v>
      </c>
      <c r="L243" s="10">
        <v>45909</v>
      </c>
      <c r="M243" s="42" t="s">
        <v>629</v>
      </c>
      <c r="N243" s="42" t="str">
        <f>+INDEX(COMSY!F:F,MATCH(INSERITO_KIM[[#This Row],[Codice Comsy Tecnico Attuale]],COMSY!E:E,0))</f>
        <v>PC WORLD</v>
      </c>
      <c r="O243" s="42" t="str">
        <f>+INDEX(COMSY!G:G,MATCH(INSERITO_KIM[[#This Row],[Codice Comsy Tecnico Attuale]],COMSY!E:E,0))</f>
        <v>Giacomo</v>
      </c>
      <c r="P243" s="42" t="str">
        <f>+INDEX(PIANI!B:B,MATCH(INSERITO_KIM[[#This Row],[Valore]],PIANI!A:A,0))</f>
        <v>FISSO</v>
      </c>
      <c r="Q243" s="42">
        <f>+INDEX(PIANI!D:D,MATCH(INSERITO_KIM[[#This Row],[Valore]],PIANI!A:A,0))</f>
        <v>0</v>
      </c>
    </row>
    <row r="244" spans="1:17" x14ac:dyDescent="0.3">
      <c r="A244" s="42" t="s">
        <v>962</v>
      </c>
      <c r="B244" s="42" t="s">
        <v>963</v>
      </c>
      <c r="C244" s="42" t="s">
        <v>16</v>
      </c>
      <c r="D244">
        <v>24366792</v>
      </c>
      <c r="E244" s="42" t="s">
        <v>977</v>
      </c>
      <c r="F244" s="42" t="s">
        <v>75</v>
      </c>
      <c r="G244">
        <v>20</v>
      </c>
      <c r="H244" s="42" t="s">
        <v>700</v>
      </c>
      <c r="I244">
        <v>34.9</v>
      </c>
      <c r="J244" s="42" t="s">
        <v>14</v>
      </c>
      <c r="K244" s="42" t="s">
        <v>877</v>
      </c>
      <c r="L244" s="10">
        <v>45903</v>
      </c>
      <c r="M244" s="42" t="s">
        <v>629</v>
      </c>
      <c r="N244" s="42" t="str">
        <f>+INDEX(COMSY!F:F,MATCH(INSERITO_KIM[[#This Row],[Codice Comsy Tecnico Attuale]],COMSY!E:E,0))</f>
        <v xml:space="preserve">DE TOMMASO ANTONIO         </v>
      </c>
      <c r="O244" s="42" t="str">
        <f>+INDEX(COMSY!G:G,MATCH(INSERITO_KIM[[#This Row],[Codice Comsy Tecnico Attuale]],COMSY!E:E,0))</f>
        <v>Giacomo</v>
      </c>
      <c r="P244" s="42" t="str">
        <f>+INDEX(PIANI!B:B,MATCH(INSERITO_KIM[[#This Row],[Valore]],PIANI!A:A,0))</f>
        <v>FISSO</v>
      </c>
      <c r="Q244" s="42">
        <f>+INDEX(PIANI!D:D,MATCH(INSERITO_KIM[[#This Row],[Valore]],PIANI!A:A,0))</f>
        <v>0</v>
      </c>
    </row>
    <row r="245" spans="1:17" x14ac:dyDescent="0.3">
      <c r="A245" s="42" t="s">
        <v>1204</v>
      </c>
      <c r="B245" s="42" t="s">
        <v>1205</v>
      </c>
      <c r="C245" s="42" t="s">
        <v>16</v>
      </c>
      <c r="D245">
        <v>24381200</v>
      </c>
      <c r="E245" s="42" t="s">
        <v>1206</v>
      </c>
      <c r="F245" s="42" t="s">
        <v>708</v>
      </c>
      <c r="G245">
        <v>20</v>
      </c>
      <c r="H245" s="42" t="s">
        <v>700</v>
      </c>
      <c r="I245">
        <v>35.9</v>
      </c>
      <c r="J245" s="42" t="s">
        <v>14</v>
      </c>
      <c r="K245" s="42" t="s">
        <v>1118</v>
      </c>
      <c r="L245" s="10">
        <v>45909</v>
      </c>
      <c r="M245" s="42" t="s">
        <v>629</v>
      </c>
      <c r="N245" s="42" t="str">
        <f>+INDEX(COMSY!F:F,MATCH(INSERITO_KIM[[#This Row],[Codice Comsy Tecnico Attuale]],COMSY!E:E,0))</f>
        <v>SMARTPHONE S.R.L.</v>
      </c>
      <c r="O245" s="42" t="str">
        <f>+INDEX(COMSY!G:G,MATCH(INSERITO_KIM[[#This Row],[Codice Comsy Tecnico Attuale]],COMSY!E:E,0))</f>
        <v>Giacomo</v>
      </c>
      <c r="P245" s="42" t="str">
        <f>+INDEX(PIANI!B:B,MATCH(INSERITO_KIM[[#This Row],[Valore]],PIANI!A:A,0))</f>
        <v>FISSO</v>
      </c>
      <c r="Q245" s="42">
        <f>+INDEX(PIANI!D:D,MATCH(INSERITO_KIM[[#This Row],[Valore]],PIANI!A:A,0))</f>
        <v>0</v>
      </c>
    </row>
    <row r="246" spans="1:17" x14ac:dyDescent="0.3">
      <c r="A246" s="42" t="s">
        <v>1249</v>
      </c>
      <c r="B246" s="42" t="s">
        <v>1250</v>
      </c>
      <c r="C246" s="42" t="s">
        <v>16</v>
      </c>
      <c r="D246">
        <v>24342044</v>
      </c>
      <c r="E246" s="42" t="s">
        <v>1251</v>
      </c>
      <c r="F246" s="42" t="s">
        <v>633</v>
      </c>
      <c r="G246">
        <v>0</v>
      </c>
      <c r="H246" s="42" t="s">
        <v>13</v>
      </c>
      <c r="I246">
        <v>27.95</v>
      </c>
      <c r="J246" s="42" t="s">
        <v>17</v>
      </c>
      <c r="K246" s="42" t="s">
        <v>17</v>
      </c>
      <c r="L246" s="10">
        <v>45910</v>
      </c>
      <c r="M246" s="42" t="s">
        <v>1252</v>
      </c>
      <c r="N246" s="42" t="str">
        <f>+INDEX(COMSY!F:F,MATCH(INSERITO_KIM[[#This Row],[Codice Comsy Tecnico Attuale]],COMSY!E:E,0))</f>
        <v>RISOLTO LAB MONOPOLI</v>
      </c>
      <c r="O246" s="42" t="str">
        <f>+INDEX(COMSY!G:G,MATCH(INSERITO_KIM[[#This Row],[Codice Comsy Tecnico Attuale]],COMSY!E:E,0))</f>
        <v>Giacomo</v>
      </c>
      <c r="P246" s="42" t="str">
        <f>+INDEX(PIANI!B:B,MATCH(INSERITO_KIM[[#This Row],[Valore]],PIANI!A:A,0))</f>
        <v>FISSO</v>
      </c>
      <c r="Q246" s="42">
        <f>+INDEX(PIANI!D:D,MATCH(INSERITO_KIM[[#This Row],[Valore]],PIANI!A:A,0))</f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15cea82-37cd-4a78-80a1-9e703f5795d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A46BABF9FA054BAA6551B2A3B475FB" ma:contentTypeVersion="16" ma:contentTypeDescription="Create a new document." ma:contentTypeScope="" ma:versionID="795fd3bcc55dfb0805cebccd6d890b03">
  <xsd:schema xmlns:xsd="http://www.w3.org/2001/XMLSchema" xmlns:xs="http://www.w3.org/2001/XMLSchema" xmlns:p="http://schemas.microsoft.com/office/2006/metadata/properties" xmlns:ns3="415cea82-37cd-4a78-80a1-9e703f5795d3" xmlns:ns4="789faf34-5ad3-4669-af93-f9a7a42d550c" targetNamespace="http://schemas.microsoft.com/office/2006/metadata/properties" ma:root="true" ma:fieldsID="e3dff35125e4191d833470cce8789bb4" ns3:_="" ns4:_="">
    <xsd:import namespace="415cea82-37cd-4a78-80a1-9e703f5795d3"/>
    <xsd:import namespace="789faf34-5ad3-4669-af93-f9a7a42d550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5cea82-37cd-4a78-80a1-9e703f5795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9faf34-5ad3-4669-af93-f9a7a42d550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C4D4A9AC-C278-47FB-9D8C-AF8ED1F201CD}">
  <ds:schemaRefs>
    <ds:schemaRef ds:uri="http://purl.org/dc/elements/1.1/"/>
    <ds:schemaRef ds:uri="http://schemas.openxmlformats.org/package/2006/metadata/core-properties"/>
    <ds:schemaRef ds:uri="789faf34-5ad3-4669-af93-f9a7a42d550c"/>
    <ds:schemaRef ds:uri="415cea82-37cd-4a78-80a1-9e703f5795d3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E6777955-ABA4-4679-B2ED-F9E7C78531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15cea82-37cd-4a78-80a1-9e703f5795d3"/>
    <ds:schemaRef ds:uri="789faf34-5ad3-4669-af93-f9a7a42d55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65620BF-52BE-4BF1-9533-23499920B30D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06A3D89E-065B-4152-94A1-C5E04AA192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5</vt:i4>
      </vt:variant>
      <vt:variant>
        <vt:lpstr>Intervalli denominati</vt:lpstr>
      </vt:variant>
      <vt:variant>
        <vt:i4>2</vt:i4>
      </vt:variant>
    </vt:vector>
  </HeadingPairs>
  <TitlesOfParts>
    <vt:vector size="7" baseType="lpstr">
      <vt:lpstr>PIVOT</vt:lpstr>
      <vt:lpstr>INCASSI</vt:lpstr>
      <vt:lpstr>COMSY</vt:lpstr>
      <vt:lpstr>PIANI</vt:lpstr>
      <vt:lpstr>INSERITO KIM</vt:lpstr>
      <vt:lpstr>KIM</vt:lpstr>
      <vt:lpstr>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Condorelli Gaetano Pietro</dc:creator>
  <cp:keywords/>
  <dc:description/>
  <cp:lastModifiedBy>Mancini Luca</cp:lastModifiedBy>
  <cp:revision/>
  <cp:lastPrinted>2024-12-17T05:07:47Z</cp:lastPrinted>
  <dcterms:created xsi:type="dcterms:W3CDTF">2022-01-18T11:41:54Z</dcterms:created>
  <dcterms:modified xsi:type="dcterms:W3CDTF">2025-09-15T07:24:17Z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0x01010073A46BABF9FA054BAA6551B2A3B475FB</vt:lpwstr>
  </property>
</Properties>
</file>